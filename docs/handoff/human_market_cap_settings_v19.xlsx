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402dfed4904297" /></Relationships>
</file>

<file path=xl/workbook.xml><?xml version="1.0" encoding="utf-8"?>
<x:workbook xmlns:x="http://schemas.openxmlformats.org/spreadsheetml/2006/main">
  <x:sheets>
    <x:sheet xmlns:r="http://schemas.openxmlformats.org/officeDocument/2006/relationships" name="使い方" sheetId="1" r:id="R0885c901b8b643eb"/>
    <x:sheet xmlns:r="http://schemas.openxmlformats.org/officeDocument/2006/relationships" name="共通設定" sheetId="2" r:id="R266a2b938e564283"/>
    <x:sheet xmlns:r="http://schemas.openxmlformats.org/officeDocument/2006/relationships" name="学歴" sheetId="3" r:id="R4c5ccf33a096470a"/>
    <x:sheet xmlns:r="http://schemas.openxmlformats.org/officeDocument/2006/relationships" name="容姿" sheetId="4" r:id="R8e0c89a9b21441b1"/>
    <x:sheet xmlns:r="http://schemas.openxmlformats.org/officeDocument/2006/relationships" name="職業" sheetId="5" r:id="R94807f5ebd4a4f51"/>
    <x:sheet xmlns:r="http://schemas.openxmlformats.org/officeDocument/2006/relationships" name="入力仕様" sheetId="6" r:id="R31508fa4e5104cf7"/>
    <x:sheet xmlns:r="http://schemas.openxmlformats.org/officeDocument/2006/relationships" name="クイズ" sheetId="7" r:id="R18de5a7932994dd3"/>
    <x:sheet xmlns:r="http://schemas.openxmlformats.org/officeDocument/2006/relationships" name="隠し称号" sheetId="8" r:id="R831983dda66a42d7"/>
    <x:sheet xmlns:r="http://schemas.openxmlformats.org/officeDocument/2006/relationships" name="チェック" sheetId="9" r:id="R7b8226a632d64a2e"/>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
    <x:numFmt numFmtId="202" formatCode="0.000x"/>
    <x:numFmt numFmtId="203" formatCode="0.0x"/>
    <x:numFmt numFmtId="204" formatCode="0.0"/>
  </x:numFmts>
  <x:fonts count="11">
    <x:font>
      <x:sz val="11"/>
      <x:name val="Carlito"/>
    </x:font>
    <x:font>
      <x:b/>
      <x:sz val="20"/>
      <x:color rgb="FFD4A843"/>
      <x:name val="Carlito"/>
    </x:font>
    <x:font>
      <x:sz val="10"/>
      <x:color rgb="FFFFFFFF"/>
      <x:name val="Carlito"/>
    </x:font>
    <x:font>
      <x:b/>
      <x:sz val="10"/>
      <x:color rgb="FFFFFFFF"/>
      <x:name val="Carlito"/>
    </x:font>
    <x:font>
      <x:sz val="10"/>
      <x:color rgb="FF111827"/>
      <x:name val="Carlito"/>
    </x:font>
    <x:font>
      <x:sz val="10"/>
      <x:color rgb="FF15803D"/>
      <x:name val="Carlito"/>
    </x:font>
    <x:font>
      <x:sz val="10"/>
      <x:color rgb="FF4B5563"/>
      <x:name val="Carlito"/>
    </x:font>
    <x:font>
      <x:b/>
      <x:sz val="11"/>
      <x:color rgb="FFB91C1C"/>
      <x:name val="Carlito"/>
    </x:font>
    <x:font>
      <x:b/>
      <x:sz val="11"/>
      <x:color rgb="FF111827"/>
      <x:name val="Carlito"/>
    </x:font>
    <x:font>
      <x:sz val="10"/>
      <x:color rgb="FF1D4ED8"/>
      <x:name val="Carlito"/>
    </x:font>
    <x:font>
      <x:b/>
      <x:sz val="14"/>
      <x:color rgb="FF15803D"/>
      <x:name val="Carlito"/>
    </x:font>
  </x:fonts>
  <x:fills count="9">
    <x:fill>
      <x:patternFill patternType="none"/>
    </x:fill>
    <x:fill>
      <x:patternFill patternType="gray125"/>
    </x:fill>
    <x:fill>
      <x:patternFill patternType="solid">
        <x:fgColor rgb="FF111827"/>
      </x:patternFill>
    </x:fill>
    <x:fill>
      <x:patternFill patternType="solid">
        <x:fgColor rgb="FF1F2937"/>
      </x:patternFill>
    </x:fill>
    <x:fill>
      <x:patternFill patternType="solid">
        <x:fgColor rgb="FFEAF7EE"/>
      </x:patternFill>
    </x:fill>
    <x:fill>
      <x:patternFill patternType="solid">
        <x:fgColor rgb="FFF3F4F6"/>
      </x:patternFill>
    </x:fill>
    <x:fill>
      <x:patternFill patternType="solid">
        <x:fgColor rgb="FFFEE2E2"/>
      </x:patternFill>
    </x:fill>
    <x:fill>
      <x:patternFill patternType="solid">
        <x:fgColor rgb="FFD4A843"/>
      </x:patternFill>
    </x:fill>
    <x:fill>
      <x:patternFill patternType="solid">
        <x:fgColor rgb="FFFFF7D6"/>
      </x:patternFill>
    </x:fill>
  </x:fills>
  <x:borders count="12">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1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3" borderId="0" xfId="0" applyNumberFormat="1" applyFont="1" applyFill="1" applyBorder="1"/>
    <x:xf numFmtId="0" fontId="3" fillId="3" borderId="1" xfId="0" applyNumberFormat="1" applyFont="1" applyFill="1" applyBorder="1"/>
    <x:xf numFmtId="0" fontId="3" fillId="3" borderId="2" xfId="0" applyNumberFormat="1" applyFont="1" applyFill="1" applyBorder="1"/>
    <x:xf numFmtId="0" fontId="3" fillId="3" borderId="3" xfId="0" applyNumberFormat="1" applyFont="1" applyFill="1" applyBorder="1"/>
    <x:xf numFmtId="0" fontId="3" fillId="3" borderId="1" xfId="0" applyNumberFormat="1" applyFont="1" applyFill="1" applyBorder="1" applyAlignment="1">
      <x:alignment wrapText="1"/>
    </x:xf>
    <x:xf numFmtId="0" fontId="3" fillId="3" borderId="2" xfId="0" applyNumberFormat="1" applyFont="1" applyFill="1" applyBorder="1" applyAlignment="1">
      <x:alignment wrapText="1"/>
    </x:xf>
    <x:xf numFmtId="0" fontId="3" fillId="3" borderId="3"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2" xfId="0" applyNumberFormat="1" applyFont="1" applyFill="1" applyBorder="1" applyAlignment="1">
      <x:alignment horizontal="center" wrapText="1"/>
    </x:xf>
    <x:xf numFmtId="0" fontId="3" fillId="3" borderId="3"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3" fillId="3" borderId="2" xfId="0" applyNumberFormat="1" applyFont="1" applyFill="1" applyBorder="1" applyAlignment="1">
      <x:alignment horizontal="center" vertical="center" wrapText="1"/>
    </x:xf>
    <x:xf numFmtId="0" fontId="3" fillId="3"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0" xfId="0" applyNumberFormat="1" applyFont="1" applyFill="1" applyBorder="1" applyAlignment="1">
      <x:alignment vertical="top" wrapText="1"/>
    </x:xf>
    <x:xf numFmtId="0" fontId="5" fillId="4" borderId="5"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10"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6" fillId="5" borderId="5" xfId="0" applyNumberFormat="1" applyFont="1" applyFill="1" applyBorder="1" applyAlignment="1">
      <x:alignment vertical="top" wrapText="1"/>
    </x:xf>
    <x:xf numFmtId="0" fontId="6" fillId="5" borderId="6"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6" fillId="5" borderId="8" xfId="0" applyNumberFormat="1" applyFont="1" applyFill="1" applyBorder="1" applyAlignment="1">
      <x:alignment vertical="top" wrapText="1"/>
    </x:xf>
    <x:xf numFmtId="0" fontId="6" fillId="5" borderId="10" xfId="0" applyNumberFormat="1" applyFont="1" applyFill="1" applyBorder="1" applyAlignment="1">
      <x:alignment vertical="top" wrapText="1"/>
    </x:xf>
    <x:xf numFmtId="0" fontId="6" fillId="5" borderId="11" xfId="0" applyNumberFormat="1" applyFont="1" applyFill="1" applyBorder="1" applyAlignment="1">
      <x:alignment vertical="top"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0" fontId="0" fillId="7" borderId="0" xfId="0" applyNumberFormat="1" applyFont="1" applyFill="1" applyBorder="1"/>
    <x:xf numFmtId="0" fontId="8" fillId="7" borderId="0" xfId="0" applyNumberFormat="1" applyFont="1" applyFill="1" applyBorder="1"/>
    <x:xf numFmtId="0" fontId="0" fillId="8" borderId="0" xfId="0" applyNumberFormat="1" applyFont="1" applyFill="1" applyBorder="1"/>
    <x:xf numFmtId="0" fontId="9" fillId="8" borderId="0"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4" fillId="8" borderId="5"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4" fillId="8" borderId="10" xfId="0" applyNumberFormat="1" applyFont="1" applyFill="1" applyBorder="1" applyAlignment="1">
      <x:alignment vertical="top" wrapText="1"/>
    </x:xf>
    <x:xf numFmtId="0" fontId="9" fillId="8" borderId="5"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0" xfId="0" applyNumberFormat="1" applyFont="1" applyFill="1" applyBorder="1" applyAlignment="1">
      <x:alignment vertical="top" wrapText="1"/>
    </x:xf>
    <x:xf numFmtId="200" fontId="9" fillId="8" borderId="5"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1" fontId="9" fillId="8" borderId="0" xfId="0" applyNumberFormat="1" applyFont="1" applyFill="1" applyBorder="1" applyAlignment="1">
      <x:alignment vertical="top" wrapText="1"/>
    </x:xf>
    <x:xf numFmtId="202" fontId="9" fillId="8" borderId="5" xfId="0" applyNumberFormat="1" applyFont="1" applyFill="1" applyBorder="1" applyAlignment="1">
      <x:alignment vertical="top" wrapText="1"/>
    </x:xf>
    <x:xf numFmtId="202" fontId="9" fillId="8" borderId="0" xfId="0" applyNumberFormat="1" applyFont="1" applyFill="1" applyBorder="1" applyAlignment="1">
      <x:alignment vertical="top" wrapText="1"/>
    </x:xf>
    <x:xf numFmtId="202" fontId="9" fillId="8" borderId="10" xfId="0" applyNumberFormat="1" applyFont="1" applyFill="1" applyBorder="1" applyAlignment="1">
      <x:alignment vertical="top" wrapText="1"/>
    </x:xf>
    <x:xf numFmtId="200" fontId="5" fillId="4" borderId="5" xfId="0" applyNumberFormat="1" applyFont="1" applyFill="1" applyBorder="1" applyAlignment="1">
      <x:alignment vertical="top" wrapText="1"/>
    </x:xf>
    <x:xf numFmtId="200" fontId="5" fillId="4" borderId="0" xfId="0" applyNumberFormat="1" applyFont="1" applyFill="1" applyBorder="1" applyAlignment="1">
      <x:alignment vertical="top" wrapText="1"/>
    </x:xf>
    <x:xf numFmtId="200" fontId="5" fillId="4" borderId="10" xfId="0" applyNumberFormat="1" applyFont="1" applyFill="1" applyBorder="1" applyAlignment="1">
      <x:alignment vertical="top" wrapText="1"/>
    </x:xf>
    <x:xf numFmtId="201" fontId="4" fillId="0" borderId="4" xfId="0" applyNumberFormat="1" applyFont="1" applyFill="1" applyBorder="1" applyAlignment="1">
      <x:alignment vertical="top" wrapText="1"/>
    </x:xf>
    <x:xf numFmtId="201" fontId="4" fillId="0" borderId="7" xfId="0" applyNumberFormat="1" applyFont="1" applyFill="1" applyBorder="1" applyAlignment="1">
      <x:alignment vertical="top" wrapText="1"/>
    </x:xf>
    <x:xf numFmtId="201" fontId="4" fillId="0" borderId="9" xfId="0" applyNumberFormat="1" applyFont="1" applyFill="1" applyBorder="1" applyAlignment="1">
      <x:alignment vertical="top" wrapText="1"/>
    </x:xf>
    <x:xf numFmtId="201" fontId="9" fillId="8" borderId="5" xfId="0" applyNumberFormat="1" applyFont="1" applyFill="1" applyBorder="1" applyAlignment="1">
      <x:alignment vertical="top" wrapText="1"/>
    </x:xf>
    <x:xf numFmtId="201" fontId="9" fillId="8" borderId="10" xfId="0" applyNumberFormat="1" applyFont="1" applyFill="1" applyBorder="1" applyAlignment="1">
      <x:alignment vertical="top" wrapText="1"/>
    </x:xf>
    <x:xf numFmtId="200" fontId="9" fillId="8" borderId="10" xfId="0" applyNumberFormat="1" applyFont="1" applyFill="1" applyBorder="1" applyAlignment="1">
      <x:alignment vertical="top" wrapText="1"/>
    </x:xf>
    <x:xf numFmtId="0" fontId="4" fillId="8" borderId="6" xfId="0" applyNumberFormat="1" applyFont="1" applyFill="1" applyBorder="1" applyAlignment="1">
      <x:alignment vertical="top" wrapText="1"/>
    </x:xf>
    <x:xf numFmtId="0" fontId="4" fillId="8" borderId="8" xfId="0" applyNumberFormat="1" applyFont="1" applyFill="1" applyBorder="1" applyAlignment="1">
      <x:alignment vertical="top" wrapText="1"/>
    </x:xf>
    <x:xf numFmtId="0" fontId="4" fillId="8" borderId="11" xfId="0" applyNumberFormat="1" applyFont="1" applyFill="1" applyBorder="1" applyAlignment="1">
      <x:alignment vertical="top" wrapText="1"/>
    </x:xf>
    <x:xf numFmtId="0" fontId="9" fillId="8" borderId="6" xfId="0" applyNumberFormat="1" applyFont="1" applyFill="1" applyBorder="1" applyAlignment="1">
      <x:alignment vertical="top" wrapText="1"/>
    </x:xf>
    <x:xf numFmtId="0" fontId="9" fillId="8" borderId="8" xfId="0" applyNumberFormat="1" applyFont="1" applyFill="1" applyBorder="1" applyAlignment="1">
      <x:alignment vertical="top" wrapText="1"/>
    </x:xf>
    <x:xf numFmtId="0" fontId="9" fillId="8" borderId="11" xfId="0" applyNumberFormat="1" applyFont="1" applyFill="1" applyBorder="1" applyAlignment="1">
      <x:alignment vertical="top" wrapText="1"/>
    </x:xf>
    <x:xf numFmtId="0" fontId="9" fillId="5" borderId="6" xfId="0" applyNumberFormat="1" applyFont="1" applyFill="1" applyBorder="1" applyAlignment="1">
      <x:alignment vertical="top" wrapText="1"/>
    </x:xf>
    <x:xf numFmtId="0" fontId="9" fillId="5" borderId="8" xfId="0" applyNumberFormat="1" applyFont="1" applyFill="1" applyBorder="1" applyAlignment="1">
      <x:alignment vertical="top" wrapText="1"/>
    </x:xf>
    <x:xf numFmtId="0" fontId="9" fillId="5" borderId="11" xfId="0" applyNumberFormat="1" applyFont="1" applyFill="1" applyBorder="1" applyAlignment="1">
      <x:alignment vertical="top" wrapText="1"/>
    </x:xf>
    <x:xf numFmtId="201" fontId="5" fillId="4" borderId="5" xfId="0" applyNumberFormat="1" applyFont="1" applyFill="1" applyBorder="1" applyAlignment="1">
      <x:alignment vertical="top" wrapText="1"/>
    </x:xf>
    <x:xf numFmtId="201" fontId="5" fillId="4" borderId="0" xfId="0" applyNumberFormat="1" applyFont="1" applyFill="1" applyBorder="1" applyAlignment="1">
      <x:alignment vertical="top" wrapText="1"/>
    </x:xf>
    <x:xf numFmtId="201" fontId="5" fillId="4" borderId="10" xfId="0" applyNumberFormat="1" applyFont="1" applyFill="1" applyBorder="1" applyAlignment="1">
      <x:alignment vertical="top" wrapText="1"/>
    </x:xf>
    <x:xf numFmtId="203" fontId="9" fillId="8" borderId="5" xfId="0" applyNumberFormat="1" applyFont="1" applyFill="1" applyBorder="1" applyAlignment="1">
      <x:alignment vertical="top" wrapText="1"/>
    </x:xf>
    <x:xf numFmtId="203" fontId="9" fillId="8" borderId="0" xfId="0" applyNumberFormat="1" applyFont="1" applyFill="1" applyBorder="1" applyAlignment="1">
      <x:alignment vertical="top" wrapText="1"/>
    </x:xf>
    <x:xf numFmtId="203" fontId="9" fillId="8" borderId="10" xfId="0" applyNumberFormat="1" applyFont="1" applyFill="1" applyBorder="1" applyAlignment="1">
      <x:alignment vertical="top" wrapText="1"/>
    </x:xf>
    <x:xf numFmtId="0" fontId="4" fillId="8" borderId="4" xfId="0" applyNumberFormat="1" applyFont="1" applyFill="1" applyBorder="1" applyAlignment="1">
      <x:alignment vertical="top" wrapText="1"/>
    </x:xf>
    <x:xf numFmtId="0" fontId="4" fillId="8" borderId="7" xfId="0" applyNumberFormat="1" applyFont="1" applyFill="1" applyBorder="1" applyAlignment="1">
      <x:alignment vertical="top" wrapText="1"/>
    </x:xf>
    <x:xf numFmtId="0" fontId="4" fillId="8" borderId="9" xfId="0" applyNumberFormat="1" applyFont="1" applyFill="1" applyBorder="1" applyAlignment="1">
      <x:alignment vertical="top" wrapText="1"/>
    </x:xf>
    <x:xf numFmtId="0" fontId="9" fillId="8" borderId="4" xfId="0" applyNumberFormat="1" applyFont="1" applyFill="1" applyBorder="1" applyAlignment="1">
      <x:alignment vertical="top" wrapText="1"/>
    </x:xf>
    <x:xf numFmtId="0" fontId="9" fillId="8" borderId="7" xfId="0" applyNumberFormat="1" applyFont="1" applyFill="1" applyBorder="1" applyAlignment="1">
      <x:alignment vertical="top" wrapText="1"/>
    </x:xf>
    <x:xf numFmtId="0" fontId="9" fillId="8" borderId="9" xfId="0" applyNumberFormat="1" applyFont="1" applyFill="1" applyBorder="1" applyAlignment="1">
      <x:alignment vertical="top" wrapText="1"/>
    </x:xf>
    <x:xf numFmtId="201" fontId="9" fillId="8" borderId="4" xfId="0" applyNumberFormat="1" applyFont="1" applyFill="1" applyBorder="1" applyAlignment="1">
      <x:alignment vertical="top" wrapText="1"/>
    </x:xf>
    <x:xf numFmtId="201" fontId="9" fillId="8" borderId="7" xfId="0" applyNumberFormat="1" applyFont="1" applyFill="1" applyBorder="1" applyAlignment="1">
      <x:alignment vertical="top" wrapText="1"/>
    </x:xf>
    <x:xf numFmtId="201" fontId="9" fillId="8" borderId="9" xfId="0" applyNumberFormat="1" applyFont="1" applyFill="1" applyBorder="1" applyAlignment="1">
      <x:alignment vertical="top" wrapText="1"/>
    </x:xf>
    <x:xf numFmtId="204" fontId="9" fillId="8" borderId="5" xfId="0" applyNumberFormat="1" applyFont="1" applyFill="1" applyBorder="1" applyAlignment="1">
      <x:alignment vertical="top" wrapText="1"/>
    </x:xf>
    <x:xf numFmtId="204" fontId="9" fillId="8" borderId="0" xfId="0" applyNumberFormat="1" applyFont="1" applyFill="1" applyBorder="1" applyAlignment="1">
      <x:alignment vertical="top" wrapText="1"/>
    </x:xf>
    <x:xf numFmtId="204" fontId="9" fillId="8" borderId="10" xfId="0" applyNumberFormat="1" applyFont="1" applyFill="1" applyBorder="1" applyAlignment="1">
      <x:alignment vertical="top" wrapText="1"/>
    </x:xf>
    <x:xf numFmtId="0" fontId="10" fillId="4" borderId="0" xfId="0" applyNumberFormat="1" applyFont="1" applyFill="1" applyBorder="1"/>
    <x:xf numFmtId="0" fontId="10" fillId="4" borderId="0" xfId="0" applyNumberFormat="1" applyFont="1" applyFill="1" applyBorder="1" applyAlignment="1">
      <x:alignment horizontal="center"/>
    </x:xf>
    <x:xf numFmtId="0" fontId="10" fillId="4" borderId="0"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4c1b88e77b4ba9" /><Relationship Type="http://schemas.openxmlformats.org/officeDocument/2006/relationships/theme" Target="/xl/theme/theme1.xml" Id="R6445214427d84fc5" /><Relationship Type="http://schemas.openxmlformats.org/officeDocument/2006/relationships/sharedStrings" Target="/xl/sharedStrings.xml" Id="Rec3edae6581c44b6" /><Relationship Type="http://schemas.openxmlformats.org/officeDocument/2006/relationships/worksheet" Target="/xl/worksheets/sheet1.xml" Id="R0885c901b8b643eb" /><Relationship Type="http://schemas.openxmlformats.org/officeDocument/2006/relationships/worksheet" Target="/xl/worksheets/sheet2.xml" Id="R266a2b938e564283" /><Relationship Type="http://schemas.openxmlformats.org/officeDocument/2006/relationships/worksheet" Target="/xl/worksheets/sheet3.xml" Id="R4c5ccf33a096470a" /><Relationship Type="http://schemas.openxmlformats.org/officeDocument/2006/relationships/worksheet" Target="/xl/worksheets/sheet4.xml" Id="R8e0c89a9b21441b1" /><Relationship Type="http://schemas.openxmlformats.org/officeDocument/2006/relationships/worksheet" Target="/xl/worksheets/sheet5.xml" Id="R94807f5ebd4a4f51" /><Relationship Type="http://schemas.openxmlformats.org/officeDocument/2006/relationships/worksheet" Target="/xl/worksheets/sheet6.xml" Id="R31508fa4e5104cf7" /><Relationship Type="http://schemas.openxmlformats.org/officeDocument/2006/relationships/worksheet" Target="/xl/worksheets/sheet7.xml" Id="R18de5a7932994dd3" /><Relationship Type="http://schemas.openxmlformats.org/officeDocument/2006/relationships/worksheet" Target="/xl/worksheets/sheet8.xml" Id="R831983dda66a42d7" /><Relationship Type="http://schemas.openxmlformats.org/officeDocument/2006/relationships/worksheet" Target="/xl/worksheets/sheet9.xml" Id="R7b8226a632d64a2e" /></Relationships>
</file>

<file path=xl/tables/table1.xml><?xml version="1.0" encoding="utf-8"?>
<x:table xmlns:x="http://schemas.openxmlformats.org/spreadsheetml/2006/main" id="1" name="GuideTable" displayName="GuideTable" ref="A4:H12" headerRowCount="1" totalsRowCount="0" totalsRowShown="0">
  <x:tableColumns count="8">
    <x:tableColumn id="1" name="シート"/>
    <x:tableColumn id="2" name="内容"/>
    <x:tableColumn id="3" name="件数"/>
    <x:tableColumn id="4" name="編集方針"/>
    <x:tableColumn id="5" name="入力セル"/>
    <x:tableColumn id="6" name="計算セル"/>
    <x:tableColumn id="7" name="確認ポイント"/>
    <x:tableColumn id="8" name="コード反映"/>
  </x:tableColumns>
  <x:tableStyleInfo name="TableStyleMedium2" showFirstColumn="0" showLastColumn="0" showRowStripes="1" showColumnStripes="0"/>
</x:table>
</file>

<file path=xl/tables/table2.xml><?xml version="1.0" encoding="utf-8"?>
<x:table xmlns:x="http://schemas.openxmlformats.org/spreadsheetml/2006/main" id="2" name="CommonSettingsTable" displayName="CommonSettingsTable" ref="A4:J38" headerRowCount="1" totalsRowCount="0" totalsRowShown="0">
  <x:tableColumns count="10">
    <x:tableColumn id="1" name="設定ID"/>
    <x:tableColumn id="2" name="分類"/>
    <x:tableColumn id="3" name="パラメータ"/>
    <x:tableColumn id="4" name="値"/>
    <x:tableColumn id="5" name="単位"/>
    <x:tableColumn id="6" name="最小"/>
    <x:tableColumn id="7" name="最大"/>
    <x:tableColumn id="8" name="数式・使用箇所"/>
    <x:tableColumn id="9" name="注記"/>
    <x:tableColumn id="10" name="ソース"/>
  </x:tableColumns>
  <x:tableStyleInfo name="TableStyleMedium2" showFirstColumn="0" showLastColumn="0" showRowStripes="1" showColumnStripes="0"/>
</x:table>
</file>

<file path=xl/tables/table3.xml><?xml version="1.0" encoding="utf-8"?>
<x:table xmlns:x="http://schemas.openxmlformats.org/spreadsheetml/2006/main" id="3" name="EducationTable" displayName="EducationTable" ref="A4:I19" headerRowCount="1" totalsRowCount="0" totalsRowShown="0">
  <x:tableColumns count="9">
    <x:tableColumn id="1" name="No."/>
    <x:tableColumn id="2" name="学歴key"/>
    <x:tableColumn id="3" name="表示名"/>
    <x:tableColumn id="4" name="学歴乗数"/>
    <x:tableColumn id="5" name="NW力"/>
    <x:tableColumn id="6" name="NW→給与"/>
    <x:tableColumn id="7" name="NW→転職後"/>
    <x:tableColumn id="8" name="比較メモ"/>
    <x:tableColumn id="9" name="ソース"/>
  </x:tableColumns>
  <x:tableStyleInfo name="TableStyleMedium2" showFirstColumn="0" showLastColumn="0" showRowStripes="1" showColumnStripes="0"/>
</x:table>
</file>

<file path=xl/tables/table4.xml><?xml version="1.0" encoding="utf-8"?>
<x:table xmlns:x="http://schemas.openxmlformats.org/spreadsheetml/2006/main" id="4" name="AppearanceTable" displayName="AppearanceTable" ref="A4:H9" headerRowCount="1" totalsRowCount="0" totalsRowShown="0">
  <x:tableColumns count="8">
    <x:tableColumn id="1" name="No."/>
    <x:tableColumn id="2" name="容姿key"/>
    <x:tableColumn id="3" name="表示名"/>
    <x:tableColumn id="4" name="給与成長ベース"/>
    <x:tableColumn id="5" name="資産利回り補正"/>
    <x:tableColumn id="6" name="給与への適用"/>
    <x:tableColumn id="7" name="利回りの意図"/>
    <x:tableColumn id="8" name="ソース"/>
  </x:tableColumns>
  <x:tableStyleInfo name="TableStyleMedium2" showFirstColumn="0" showLastColumn="0" showRowStripes="1" showColumnStripes="0"/>
</x:table>
</file>

<file path=xl/tables/table5.xml><?xml version="1.0" encoding="utf-8"?>
<x:table xmlns:x="http://schemas.openxmlformats.org/spreadsheetml/2006/main" id="5" name="OccupationTable" displayName="OccupationTable" ref="A4:Y64" headerRowCount="1" totalsRowCount="0" totalsRowShown="0">
  <x:tableColumns count="25">
    <x:tableColumn id="1" name="No."/>
    <x:tableColumn id="2" name="職種"/>
    <x:tableColumn id="3" name="職種key"/>
    <x:tableColumn id="4" name="職業key"/>
    <x:tableColumn id="5" name="表示名"/>
    <x:tableColumn id="6" name="引退年齢"/>
    <x:tableColumn id="7" name="主職終了"/>
    <x:tableColumn id="8" name="ピーク年齢"/>
    <x:tableColumn id="9" name="基準年収"/>
    <x:tableColumn id="10" name="30歳時基準年収"/>
    <x:tableColumn id="11" name="基本利回り"/>
    <x:tableColumn id="12" name="容姿倍率"/>
    <x:tableColumn id="13" name="上位10%給与補正"/>
    <x:tableColumn id="14" name="careerRisk"/>
    <x:tableColumn id="15" name="転職後率"/>
    <x:tableColumn id="16" name="リスク表示"/>
    <x:tableColumn id="17" name="rampUp 1"/>
    <x:tableColumn id="18" name="rampUp 2"/>
    <x:tableColumn id="19" name="rampUp 3"/>
    <x:tableColumn id="20" name="rampUp 4"/>
    <x:tableColumn id="21" name="rampDown 1"/>
    <x:tableColumn id="22" name="rampDown 2"/>
    <x:tableColumn id="23" name="特別成長年数"/>
    <x:tableColumn id="24" name="特別成長率"/>
    <x:tableColumn id="25" name="特記事項"/>
  </x:tableColumns>
  <x:tableStyleInfo name="TableStyleMedium2" showFirstColumn="0" showLastColumn="0" showRowStripes="1" showColumnStripes="0"/>
</x:table>
</file>

<file path=xl/tables/table6.xml><?xml version="1.0" encoding="utf-8"?>
<x:table xmlns:x="http://schemas.openxmlformats.org/spreadsheetml/2006/main" id="6" name="InputSpecTable" displayName="InputSpecTable" ref="A4:J14" headerRowCount="1" totalsRowCount="0" totalsRowShown="0">
  <x:tableColumns count="10">
    <x:tableColumn id="1" name="質問No."/>
    <x:tableColumn id="2" name="項目"/>
    <x:tableColumn id="3" name="形式"/>
    <x:tableColumn id="4" name="初期値"/>
    <x:tableColumn id="5" name="最小"/>
    <x:tableColumn id="6" name="最大"/>
    <x:tableColumn id="7" name="単位"/>
    <x:tableColumn id="8" name="計算への影響"/>
    <x:tableColumn id="9" name="備考"/>
    <x:tableColumn id="10" name="ソース"/>
  </x:tableColumns>
  <x:tableStyleInfo name="TableStyleMedium2" showFirstColumn="0" showLastColumn="0" showRowStripes="1" showColumnStripes="0"/>
</x:table>
</file>

<file path=xl/tables/table7.xml><?xml version="1.0" encoding="utf-8"?>
<x:table xmlns:x="http://schemas.openxmlformats.org/spreadsheetml/2006/main" id="7" name="QuizTable" displayName="QuizTable" ref="A4:U19" headerRowCount="1" totalsRowCount="0" totalsRowShown="0">
  <x:tableColumns count="21">
    <x:tableColumn id="1" name="ID"/>
    <x:tableColumn id="2" name="タイトル"/>
    <x:tableColumn id="3" name="前提文"/>
    <x:tableColumn id="4" name="A問題"/>
    <x:tableColumn id="5" name="A選択肢1"/>
    <x:tableColumn id="6" name="A選択肢2"/>
    <x:tableColumn id="7" name="A選択肢3"/>
    <x:tableColumn id="8" name="A選択肢4"/>
    <x:tableColumn id="9" name="B問題"/>
    <x:tableColumn id="10" name="B選択肢1"/>
    <x:tableColumn id="11" name="B選択肢2"/>
    <x:tableColumn id="12" name="B選択肢3"/>
    <x:tableColumn id="13" name="B選択肢4"/>
    <x:tableColumn id="14" name="ルール"/>
    <x:tableColumn id="15" name="A正解"/>
    <x:tableColumn id="16" name="B正解"/>
    <x:tableColumn id="17" name="判定条件"/>
    <x:tableColumn id="18" name="正解パターン表示"/>
    <x:tableColumn id="19" name="解説"/>
    <x:tableColumn id="20" name="配点"/>
    <x:tableColumn id="21" name="ソース"/>
  </x:tableColumns>
  <x:tableStyleInfo name="TableStyleMedium2" showFirstColumn="0" showLastColumn="0" showRowStripes="1" showColumnStripes="0"/>
</x:table>
</file>

<file path=xl/tables/table8.xml><?xml version="1.0" encoding="utf-8"?>
<x:table xmlns:x="http://schemas.openxmlformats.org/spreadsheetml/2006/main" id="8" name="HiddenTitleTable" displayName="HiddenTitleTable" ref="A4:T12" headerRowCount="1" totalsRowCount="0" totalsRowShown="0">
  <x:tableColumns count="20">
    <x:tableColumn id="1" name="優先"/>
    <x:tableColumn id="2" name="称号"/>
    <x:tableColumn id="3" name="職業key"/>
    <x:tableColumn id="4" name="学歴key"/>
    <x:tableColumn id="5" name="容姿key"/>
    <x:tableColumn id="6" name="年齢下限"/>
    <x:tableColumn id="7" name="年齢上限"/>
    <x:tableColumn id="8" name="TIER"/>
    <x:tableColumn id="9" name="クイズ正答"/>
    <x:tableColumn id="10" name="金融資産下限"/>
    <x:tableColumn id="11" name="金融資産上限未満"/>
    <x:tableColumn id="12" name="総資産下限"/>
    <x:tableColumn id="13" name="総資産上限"/>
    <x:tableColumn id="14" name="再投資率下限"/>
    <x:tableColumn id="15" name="再投資率上限"/>
    <x:tableColumn id="16" name="偏差値表示"/>
    <x:tableColumn id="17" name="条件要約"/>
    <x:tableColumn id="18" name="アバター"/>
    <x:tableColumn id="19" name="備考"/>
    <x:tableColumn id="20" name="ソース"/>
  </x:tableColumns>
  <x:tableStyleInfo name="TableStyleMedium2" showFirstColumn="0" showLastColumn="0" showRowStripes="1" showColumnStripes="0"/>
</x:table>
</file>

<file path=xl/tables/table9.xml><?xml version="1.0" encoding="utf-8"?>
<x:table xmlns:x="http://schemas.openxmlformats.org/spreadsheetml/2006/main" id="9" name="ValidationTable" displayName="ValidationTable" ref="A4:G12" headerRowCount="1" totalsRowCount="0" totalsRowShown="0">
  <x:tableColumns count="7">
    <x:tableColumn id="1" name="チェックID"/>
    <x:tableColumn id="2" name="対象"/>
    <x:tableColumn id="3" name="期待値"/>
    <x:tableColumn id="4" name="実績"/>
    <x:tableColumn id="5" name="判定"/>
    <x:tableColumn id="6" name="確認内容"/>
    <x:tableColumn id="7" name="対応"/>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0633f41c8f24fda" /></Relationships>
</file>

<file path=xl/worksheets/_rels/sheet2.xml.rels>&#65279;<?xml version="1.0" encoding="utf-8"?><Relationships xmlns="http://schemas.openxmlformats.org/package/2006/relationships"><Relationship Type="http://schemas.openxmlformats.org/officeDocument/2006/relationships/table" Target="/xl/tables/table2.xml" Id="R043ac9735741434b" /></Relationships>
</file>

<file path=xl/worksheets/_rels/sheet3.xml.rels>&#65279;<?xml version="1.0" encoding="utf-8"?><Relationships xmlns="http://schemas.openxmlformats.org/package/2006/relationships"><Relationship Type="http://schemas.openxmlformats.org/officeDocument/2006/relationships/table" Target="/xl/tables/table3.xml" Id="Rd34c61bbf3a84c94" /></Relationships>
</file>

<file path=xl/worksheets/_rels/sheet4.xml.rels>&#65279;<?xml version="1.0" encoding="utf-8"?><Relationships xmlns="http://schemas.openxmlformats.org/package/2006/relationships"><Relationship Type="http://schemas.openxmlformats.org/officeDocument/2006/relationships/table" Target="/xl/tables/table4.xml" Id="R03ce4d73f65b47b6" /></Relationships>
</file>

<file path=xl/worksheets/_rels/sheet5.xml.rels>&#65279;<?xml version="1.0" encoding="utf-8"?><Relationships xmlns="http://schemas.openxmlformats.org/package/2006/relationships"><Relationship Type="http://schemas.openxmlformats.org/officeDocument/2006/relationships/table" Target="/xl/tables/table5.xml" Id="Rcbcd756d87aa4a66" /></Relationships>
</file>

<file path=xl/worksheets/_rels/sheet6.xml.rels>&#65279;<?xml version="1.0" encoding="utf-8"?><Relationships xmlns="http://schemas.openxmlformats.org/package/2006/relationships"><Relationship Type="http://schemas.openxmlformats.org/officeDocument/2006/relationships/table" Target="/xl/tables/table6.xml" Id="Rac9e3f5d46cb41d2" /></Relationships>
</file>

<file path=xl/worksheets/_rels/sheet7.xml.rels>&#65279;<?xml version="1.0" encoding="utf-8"?><Relationships xmlns="http://schemas.openxmlformats.org/package/2006/relationships"><Relationship Type="http://schemas.openxmlformats.org/officeDocument/2006/relationships/table" Target="/xl/tables/table7.xml" Id="Rccf4ec2ec9254e32" /></Relationships>
</file>

<file path=xl/worksheets/_rels/sheet8.xml.rels>&#65279;<?xml version="1.0" encoding="utf-8"?><Relationships xmlns="http://schemas.openxmlformats.org/package/2006/relationships"><Relationship Type="http://schemas.openxmlformats.org/officeDocument/2006/relationships/table" Target="/xl/tables/table8.xml" Id="Rd37823e0c0b4470e" /></Relationships>
</file>

<file path=xl/worksheets/_rels/sheet9.xml.rels>&#65279;<?xml version="1.0" encoding="utf-8"?><Relationships xmlns="http://schemas.openxmlformats.org/package/2006/relationships"><Relationship Type="http://schemas.openxmlformats.org/officeDocument/2006/relationships/table" Target="/xl/tables/table9.xml" Id="R7dc262542bfc46e0" /></Relationships>
</file>

<file path=xl/worksheets/sheet1.xml><?xml version="1.0" encoding="utf-8"?>
<x:worksheet xmlns:x="http://schemas.openxmlformats.org/spreadsheetml/2006/main">
  <x:sheetFormatPr defaultRowHeight="15"/>
  <x:cols>
    <x:col min="1" max="1" width="19" hidden="0" customWidth="1"/>
    <x:col min="2" max="2" width="34" hidden="0" customWidth="1"/>
    <x:col min="3" max="3" width="10" hidden="0" customWidth="1"/>
    <x:col min="4" max="4" width="20" hidden="0" customWidth="1"/>
    <x:col min="5" max="5" width="17" hidden="0" customWidth="1"/>
    <x:col min="6" max="6" width="18" hidden="0" customWidth="1"/>
    <x:col min="7" max="7" width="32" hidden="0" customWidth="1"/>
    <x:col min="8" max="8" width="18" hidden="0" customWidth="1"/>
  </x:cols>
  <x:sheetData>
    <x:row r="1" ht="34" customHeight="1">
      <x:c r="A1" s="3" t="str">
        <x:v>人間時価総額 CALCULATOR 設定台帳</x:v>
      </x:c>
      <x:c r="B1" s="3"/>
      <x:c r="C1" s="3"/>
      <x:c r="D1" s="3"/>
      <x:c r="E1" s="3"/>
      <x:c r="F1" s="3"/>
      <x:c r="G1" s="3"/>
      <x:c r="H1" s="3"/>
    </x:row>
    <x:row r="2" ht="30" customHeight="1">
      <x:c r="A2" s="7" t="str">
        <x:v>現行アプリ v19 の設定値を比較・レビュー・修正するための台帳です。2026-07-31 時点。</x:v>
      </x:c>
      <x:c r="B2" s="7"/>
      <x:c r="C2" s="7"/>
      <x:c r="D2" s="7"/>
      <x:c r="E2" s="7"/>
      <x:c r="F2" s="7"/>
      <x:c r="G2" s="7"/>
      <x:c r="H2" s="7"/>
    </x:row>
    <x:row r="4" ht="34" customHeight="1">
      <x:c r="A4" s="18" t="str">
        <x:v>シート</x:v>
      </x:c>
      <x:c r="B4" s="19" t="str">
        <x:v>内容</x:v>
      </x:c>
      <x:c r="C4" s="19" t="str">
        <x:v>件数</x:v>
      </x:c>
      <x:c r="D4" s="19" t="str">
        <x:v>編集方針</x:v>
      </x:c>
      <x:c r="E4" s="19" t="str">
        <x:v>入力セル</x:v>
      </x:c>
      <x:c r="F4" s="19" t="str">
        <x:v>計算セル</x:v>
      </x:c>
      <x:c r="G4" s="19" t="str">
        <x:v>確認ポイント</x:v>
      </x:c>
      <x:c r="H4" s="20" t="str">
        <x:v>コード反映</x:v>
      </x:c>
    </x:row>
    <x:row r="5">
      <x:c r="A5" s="39" t="str">
        <x:v>共通設定</x:v>
      </x:c>
      <x:c r="B5" s="40" t="str">
        <x:v>全職業共通の数式・閾値・初期値</x:v>
      </x:c>
      <x:c r="C5" s="51" t="n">
        <x:f>COUNTA('共通設定'!$A$5:$A$38)</x:f>
        <x:v>34</x:v>
      </x:c>
      <x:c r="D5" s="60" t="str">
        <x:v>値列を修正</x:v>
      </x:c>
      <x:c r="E5" s="60" t="str">
        <x:v>黄地・青文字</x:v>
      </x:c>
      <x:c r="F5" s="60" t="str">
        <x:v>緑地・緑文字</x:v>
      </x:c>
      <x:c r="G5" s="60" t="str">
        <x:v>率と金額の単位</x:v>
      </x:c>
      <x:c r="H5" s="61" t="str">
        <x:v>要手動反映</x:v>
      </x:c>
    </x:row>
    <x:row r="6">
      <x:c r="A6" s="42" t="str">
        <x:v>学歴</x:v>
      </x:c>
      <x:c r="B6" s="43" t="str">
        <x:v>学歴乗数・NW力</x:v>
      </x:c>
      <x:c r="C6" s="52" t="n">
        <x:f>COUNTA('学歴'!$B$5:$B$19)</x:f>
        <x:v>15</x:v>
      </x:c>
      <x:c r="D6" s="62" t="str">
        <x:v>乗数とNWを比較</x:v>
      </x:c>
      <x:c r="E6" s="62" t="str">
        <x:v>黄地・青文字</x:v>
      </x:c>
      <x:c r="F6" s="62" t="str">
        <x:v>NW補正を自動計算</x:v>
      </x:c>
      <x:c r="G6" s="62" t="str">
        <x:v>海外Top100 &gt; 東大・京大</x:v>
      </x:c>
      <x:c r="H6" s="63" t="str">
        <x:v>要手動反映</x:v>
      </x:c>
    </x:row>
    <x:row r="7">
      <x:c r="A7" s="42" t="str">
        <x:v>容姿</x:v>
      </x:c>
      <x:c r="B7" s="43" t="str">
        <x:v>給与成長・資産利回り補正</x:v>
      </x:c>
      <x:c r="C7" s="52" t="n">
        <x:f>COUNTA('容姿'!$B$5:$B$9)</x:f>
        <x:v>5</x:v>
      </x:c>
      <x:c r="D7" s="62" t="str">
        <x:v>ベース補正を比較</x:v>
      </x:c>
      <x:c r="E7" s="62" t="str">
        <x:v>黄地・青文字</x:v>
      </x:c>
      <x:c r="F7" s="62" t="str">
        <x:v>説明は自動/固定</x:v>
      </x:c>
      <x:c r="G7" s="62" t="str">
        <x:v>良いほど利回りは低い</x:v>
      </x:c>
      <x:c r="H7" s="63" t="str">
        <x:v>要手動反映</x:v>
      </x:c>
    </x:row>
    <x:row r="8">
      <x:c r="A8" s="42" t="str">
        <x:v>職業</x:v>
      </x:c>
      <x:c r="B8" s="43" t="str">
        <x:v>60職業の全パラメータ</x:v>
      </x:c>
      <x:c r="C8" s="52" t="n">
        <x:f>COUNTA('職業'!$D$5:$D$64)</x:f>
        <x:v>60</x:v>
      </x:c>
      <x:c r="D8" s="62" t="str">
        <x:v>横並びで比較</x:v>
      </x:c>
      <x:c r="E8" s="62" t="str">
        <x:v>黄地・青文字</x:v>
      </x:c>
      <x:c r="F8" s="62" t="str">
        <x:v>30歳基準年収等を自動計算</x:v>
      </x:c>
      <x:c r="G8" s="62" t="str">
        <x:v>賃金カーブ・転職率</x:v>
      </x:c>
      <x:c r="H8" s="63" t="str">
        <x:v>要手動反映</x:v>
      </x:c>
    </x:row>
    <x:row r="9">
      <x:c r="A9" s="42" t="str">
        <x:v>入力仕様</x:v>
      </x:c>
      <x:c r="B9" s="43" t="str">
        <x:v>9問の初期値・入力範囲</x:v>
      </x:c>
      <x:c r="C9" s="52" t="n">
        <x:f>MAX('入力仕様'!$A$5:$A$14)</x:f>
        <x:v>9</x:v>
      </x:c>
      <x:c r="D9" s="62" t="str">
        <x:v>UI要件を確認</x:v>
      </x:c>
      <x:c r="E9" s="62" t="str">
        <x:v>黄地・青文字</x:v>
      </x:c>
      <x:c r="F9" s="62" t="str">
        <x:v>なし</x:v>
      </x:c>
      <x:c r="G9" s="62" t="str">
        <x:v>単位・上限</x:v>
      </x:c>
      <x:c r="H9" s="63" t="str">
        <x:v>要手動反映</x:v>
      </x:c>
    </x:row>
    <x:row r="10">
      <x:c r="A10" s="42" t="str">
        <x:v>クイズ</x:v>
      </x:c>
      <x:c r="B10" s="43" t="str">
        <x:v>金融リテラシー15セット</x:v>
      </x:c>
      <x:c r="C10" s="52" t="n">
        <x:f>COUNTA('クイズ'!$A$5:$A$19)</x:f>
        <x:v>15</x:v>
      </x:c>
      <x:c r="D10" s="62" t="str">
        <x:v>1セット1行で編集</x:v>
      </x:c>
      <x:c r="E10" s="62" t="str">
        <x:v>黄地・青文字</x:v>
      </x:c>
      <x:c r="F10" s="62" t="str">
        <x:v>判定条件を整形</x:v>
      </x:c>
      <x:c r="G10" s="62" t="str">
        <x:v>A/B各10秒・5問抽選</x:v>
      </x:c>
      <x:c r="H10" s="63" t="str">
        <x:v>要手動反映</x:v>
      </x:c>
    </x:row>
    <x:row r="11">
      <x:c r="A11" s="42" t="str">
        <x:v>隠し称号</x:v>
      </x:c>
      <x:c r="B11" s="43" t="str">
        <x:v>8称号の発動条件</x:v>
      </x:c>
      <x:c r="C11" s="52" t="n">
        <x:f>COUNTA('隠し称号'!$B$5:$B$12)</x:f>
        <x:v>8</x:v>
      </x:c>
      <x:c r="D11" s="62" t="str">
        <x:v>条件列ごとに編集</x:v>
      </x:c>
      <x:c r="E11" s="62" t="str">
        <x:v>黄地・青文字</x:v>
      </x:c>
      <x:c r="F11" s="62" t="str">
        <x:v>なし</x:v>
      </x:c>
      <x:c r="G11" s="62" t="str">
        <x:v>上から優先判定</x:v>
      </x:c>
      <x:c r="H11" s="63" t="str">
        <x:v>要手動反映</x:v>
      </x:c>
    </x:row>
    <x:row r="12">
      <x:c r="A12" s="45" t="str">
        <x:v>チェック</x:v>
      </x:c>
      <x:c r="B12" s="46" t="str">
        <x:v>件数と欠損の整合性確認</x:v>
      </x:c>
      <x:c r="C12" s="53" t="n">
        <x:f>COUNTA('チェック'!$A$5:$A$12)</x:f>
        <x:v>8</x:v>
      </x:c>
      <x:c r="D12" s="64" t="str">
        <x:v>修正不要</x:v>
      </x:c>
      <x:c r="E12" s="64" t="str">
        <x:v>なし</x:v>
      </x:c>
      <x:c r="F12" s="64" t="str">
        <x:v>自動計算</x:v>
      </x:c>
      <x:c r="G12" s="64" t="str">
        <x:v>すべてOK</x:v>
      </x:c>
      <x:c r="H12" s="65" t="str">
        <x:v>—</x:v>
      </x:c>
    </x:row>
    <x:row r="15" ht="38" customHeight="1">
      <x:c r="A15" s="69" t="str">
        <x:v>重要：このExcelを変更しても、Webアプリのコードには自動反映されません。採用値を確定後、アプリ側へ反映してください。</x:v>
      </x:c>
      <x:c r="B15" s="69"/>
      <x:c r="C15" s="69"/>
      <x:c r="D15" s="69"/>
      <x:c r="E15" s="69"/>
      <x:c r="F15" s="69"/>
      <x:c r="G15" s="69"/>
      <x:c r="H15" s="69"/>
    </x:row>
    <x:row r="17">
      <x:c r="A17" s="71" t="str">
        <x:v>色の見方</x:v>
      </x:c>
      <x:c r="B17" s="71"/>
      <x:c r="C17" s="71"/>
      <x:c r="D17" s="71"/>
      <x:c r="E17" s="71"/>
      <x:c r="F17" s="71"/>
      <x:c r="G17" s="71"/>
      <x:c r="H17" s="71"/>
    </x:row>
    <x:row r="18">
      <x:c r="A18" s="73" t="str">
        <x:v>黄地・青文字</x:v>
      </x:c>
      <x:c r="B18" s="73" t="str">
        <x:v>主に修正する設定値</x:v>
      </x:c>
      <x:c r="C18" t="str"/>
      <x:c r="D18" t="str"/>
      <x:c r="E18" t="str"/>
      <x:c r="F18" t="str"/>
      <x:c r="G18" t="str"/>
      <x:c r="H18" t="str"/>
    </x:row>
    <x:row r="19">
      <x:c r="A19" s="75" t="str">
        <x:v>緑地・緑文字</x:v>
      </x:c>
      <x:c r="B19" s="75" t="str">
        <x:v>他シート参照または自動計算</x:v>
      </x:c>
      <x:c r="C19" t="str"/>
      <x:c r="D19" t="str"/>
      <x:c r="E19" t="str"/>
      <x:c r="F19" t="str"/>
      <x:c r="G19" t="str"/>
      <x:c r="H19" t="str"/>
    </x:row>
    <x:row r="20">
      <x:c r="A20" s="77" t="str">
        <x:v>灰色</x:v>
      </x:c>
      <x:c r="B20" s="77" t="str">
        <x:v>説明・注記・ソース</x:v>
      </x:c>
      <x:c r="C20" t="str"/>
      <x:c r="D20" t="str"/>
      <x:c r="E20" t="str"/>
      <x:c r="F20" t="str"/>
      <x:c r="G20" t="str"/>
      <x:c r="H20" t="str"/>
    </x:row>
  </x:sheetData>
  <x:mergeCells>
    <x:mergeCell ref="A1:H1"/>
    <x:mergeCell ref="A2:H2"/>
    <x:mergeCell ref="A15:H15"/>
    <x:mergeCell ref="A17:H17"/>
  </x:mergeCells>
  <x:pageMargins left="0.7" right="0.7" top="0.75" bottom="0.75" header="0.3" footer="0.3"/>
  <x:tableParts count="1">
    <x:tablePart xmlns:r="http://schemas.openxmlformats.org/officeDocument/2006/relationships" r:id="R90633f41c8f24fda"/>
  </x:tableParts>
</x:worksheet>
</file>

<file path=xl/worksheets/sheet2.xml><?xml version="1.0" encoding="utf-8"?>
<x:worksheet xmlns:x="http://schemas.openxmlformats.org/spreadsheetml/2006/main">
  <x:sheetFormatPr defaultRowHeight="15"/>
  <x:cols>
    <x:col min="1" max="1" width="11" hidden="0" customWidth="1"/>
    <x:col min="2" max="2" width="15" hidden="0" customWidth="1"/>
    <x:col min="3" max="3" width="27" hidden="0" customWidth="1"/>
    <x:col min="4" max="4" width="14" hidden="0" customWidth="1"/>
    <x:col min="5" max="5" width="13" hidden="0" customWidth="1"/>
    <x:col min="6" max="6" width="12" hidden="0" customWidth="1"/>
    <x:col min="7" max="7" width="12" hidden="0" customWidth="1"/>
    <x:col min="8" max="8" width="47" hidden="0" customWidth="1"/>
    <x:col min="9" max="9" width="30" hidden="0" customWidth="1"/>
    <x:col min="10" max="10" width="35" hidden="0" customWidth="1"/>
  </x:cols>
  <x:sheetData>
    <x:row r="1" ht="34" customHeight="1">
      <x:c r="A1" s="3" t="str">
        <x:v>共通設定</x:v>
      </x:c>
      <x:c r="B1" s="3"/>
      <x:c r="C1" s="3"/>
      <x:c r="D1" s="3"/>
      <x:c r="E1" s="3"/>
      <x:c r="F1" s="3"/>
      <x:c r="G1" s="3"/>
      <x:c r="H1" s="3"/>
      <x:c r="I1" s="3"/>
      <x:c r="J1" s="3"/>
    </x:row>
    <x:row r="2" ht="30" customHeight="1">
      <x:c r="A2" s="7" t="str">
        <x:v>全職業に共通する計算ルール・閾値。値列がレビュー対象です。</x:v>
      </x:c>
      <x:c r="B2" s="7"/>
      <x:c r="C2" s="7"/>
      <x:c r="D2" s="7"/>
      <x:c r="E2" s="7"/>
      <x:c r="F2" s="7"/>
      <x:c r="G2" s="7"/>
      <x:c r="H2" s="7"/>
      <x:c r="I2" s="7"/>
      <x:c r="J2" s="7"/>
    </x:row>
    <x:row r="4" ht="34" customHeight="1">
      <x:c r="A4" s="18" t="str">
        <x:v>設定ID</x:v>
      </x:c>
      <x:c r="B4" s="19" t="str">
        <x:v>分類</x:v>
      </x:c>
      <x:c r="C4" s="19" t="str">
        <x:v>パラメータ</x:v>
      </x:c>
      <x:c r="D4" s="19" t="str">
        <x:v>値</x:v>
      </x:c>
      <x:c r="E4" s="19" t="str">
        <x:v>単位</x:v>
      </x:c>
      <x:c r="F4" s="19" t="str">
        <x:v>最小</x:v>
      </x:c>
      <x:c r="G4" s="19" t="str">
        <x:v>最大</x:v>
      </x:c>
      <x:c r="H4" s="19" t="str">
        <x:v>数式・使用箇所</x:v>
      </x:c>
      <x:c r="I4" s="19" t="str">
        <x:v>注記</x:v>
      </x:c>
      <x:c r="J4" s="20" t="str">
        <x:v>ソース</x:v>
      </x:c>
    </x:row>
    <x:row r="5" ht="36" customHeight="1">
      <x:c r="A5" s="39" t="str">
        <x:v>C001</x:v>
      </x:c>
      <x:c r="B5" s="40" t="str">
        <x:v>成長率</x:v>
      </x:c>
      <x:c r="C5" s="40" t="str">
        <x:v>インフレ率</x:v>
      </x:c>
      <x:c r="D5" s="84" t="n">
        <x:v>0.02</x:v>
      </x:c>
      <x:c r="E5" s="81" t="str">
        <x:v>%/年</x:v>
      </x:c>
      <x:c r="F5" s="84" t="n">
        <x:v>0</x:v>
      </x:c>
      <x:c r="G5" s="84" t="str"/>
      <x:c r="H5" s="60" t="str">
        <x:v>年収成長と転職後年収に毎年加算</x:v>
      </x:c>
      <x:c r="I5" s="60" t="str">
        <x:v>全職業共通</x:v>
      </x:c>
      <x:c r="J5" s="61" t="str">
        <x:v>app/model.ts / app/server/calculation.ts</x:v>
      </x:c>
    </x:row>
    <x:row r="6" ht="36" customHeight="1">
      <x:c r="A6" s="42" t="str">
        <x:v>C002</x:v>
      </x:c>
      <x:c r="B6" s="43" t="str">
        <x:v>クイズ</x:v>
      </x:c>
      <x:c r="C6" s="43" t="str">
        <x:v>クイズ総セット数</x:v>
      </x:c>
      <x:c r="D6" s="86" t="n">
        <x:v>15</x:v>
      </x:c>
      <x:c r="E6" s="82" t="str">
        <x:v>セット</x:v>
      </x:c>
      <x:c r="F6" s="82" t="n">
        <x:v>1</x:v>
      </x:c>
      <x:c r="G6" s="82" t="str"/>
      <x:c r="H6" s="62" t="str">
        <x:v>出題母集団</x:v>
      </x:c>
      <x:c r="I6" s="62" t="str">
        <x:v>現行15セット</x:v>
      </x:c>
      <x:c r="J6" s="63" t="str">
        <x:v>app/model.ts / app/server/calculation.ts</x:v>
      </x:c>
    </x:row>
    <x:row r="7" ht="36" customHeight="1">
      <x:c r="A7" s="42" t="str">
        <x:v>C003</x:v>
      </x:c>
      <x:c r="B7" s="43" t="str">
        <x:v>クイズ</x:v>
      </x:c>
      <x:c r="C7" s="43" t="str">
        <x:v>ランダム出題数</x:v>
      </x:c>
      <x:c r="D7" s="86" t="n">
        <x:v>5</x:v>
      </x:c>
      <x:c r="E7" s="82" t="str">
        <x:v>セット</x:v>
      </x:c>
      <x:c r="F7" s="82" t="n">
        <x:v>1</x:v>
      </x:c>
      <x:c r="G7" s="82" t="n">
        <x:v>15</x:v>
      </x:c>
      <x:c r="H7" s="62" t="str">
        <x:v>15セットから無作為抽出</x:v>
      </x:c>
      <x:c r="I7" s="62" t="str">
        <x:v>シャッフルボタンなし</x:v>
      </x:c>
      <x:c r="J7" s="63" t="str">
        <x:v>app/model.ts / app/server/calculation.ts</x:v>
      </x:c>
    </x:row>
    <x:row r="8" ht="36" customHeight="1">
      <x:c r="A8" s="42" t="str">
        <x:v>C004</x:v>
      </x:c>
      <x:c r="B8" s="43" t="str">
        <x:v>クイズ</x:v>
      </x:c>
      <x:c r="C8" s="43" t="str">
        <x:v>A/B回答時間</x:v>
      </x:c>
      <x:c r="D8" s="86" t="n">
        <x:v>10</x:v>
      </x:c>
      <x:c r="E8" s="82" t="str">
        <x:v>秒/問</x:v>
      </x:c>
      <x:c r="F8" s="82" t="n">
        <x:v>1</x:v>
      </x:c>
      <x:c r="G8" s="82" t="str"/>
      <x:c r="H8" s="62" t="str">
        <x:v>A回答後にBを表示</x:v>
      </x:c>
      <x:c r="I8" s="62" t="str">
        <x:v>各パート10秒</x:v>
      </x:c>
      <x:c r="J8" s="63" t="str">
        <x:v>app/model.ts / app/server/calculation.ts</x:v>
      </x:c>
    </x:row>
    <x:row r="9" ht="36" customHeight="1">
      <x:c r="A9" s="42" t="str">
        <x:v>C005</x:v>
      </x:c>
      <x:c r="B9" s="43" t="str">
        <x:v>クイズ</x:v>
      </x:c>
      <x:c r="C9" s="43" t="str">
        <x:v>満点</x:v>
      </x:c>
      <x:c r="D9" s="86" t="n">
        <x:v>5</x:v>
      </x:c>
      <x:c r="E9" s="82" t="str">
        <x:v>点</x:v>
      </x:c>
      <x:c r="F9" s="82" t="n">
        <x:v>1</x:v>
      </x:c>
      <x:c r="G9" s="82" t="n">
        <x:v>5</x:v>
      </x:c>
      <x:c r="H9" s="62" t="str">
        <x:v>A/B両方を満たすと1点</x:v>
      </x:c>
      <x:c r="I9" s="62" t="str">
        <x:v>5セット出題時</x:v>
      </x:c>
      <x:c r="J9" s="63" t="str">
        <x:v>app/model.ts / app/server/calculation.ts</x:v>
      </x:c>
    </x:row>
    <x:row r="10" ht="36" customHeight="1">
      <x:c r="A10" s="42" t="str">
        <x:v>C006</x:v>
      </x:c>
      <x:c r="B10" s="43" t="str">
        <x:v>クイズ</x:v>
      </x:c>
      <x:c r="C10" s="43" t="str">
        <x:v>金融リテラシー補正幅</x:v>
      </x:c>
      <x:c r="D10" s="85" t="n">
        <x:v>0.1</x:v>
      </x:c>
      <x:c r="E10" s="82" t="str">
        <x:v>係数</x:v>
      </x:c>
      <x:c r="F10" s="85" t="n">
        <x:v>0</x:v>
      </x:c>
      <x:c r="G10" s="85" t="str"/>
      <x:c r="H10" s="62" t="str">
        <x:v>(正答数/5−0.5)×10%</x:v>
      </x:c>
      <x:c r="I10" s="62" t="str">
        <x:v>0点−5%、5点+5%</x:v>
      </x:c>
      <x:c r="J10" s="63" t="str">
        <x:v>app/model.ts / app/server/calculation.ts</x:v>
      </x:c>
    </x:row>
    <x:row r="11" ht="36" customHeight="1">
      <x:c r="A11" s="42" t="str">
        <x:v>C007</x:v>
      </x:c>
      <x:c r="B11" s="43" t="str">
        <x:v>再投資</x:v>
      </x:c>
      <x:c r="C11" s="43" t="str">
        <x:v>再投資率 初期値</x:v>
      </x:c>
      <x:c r="D11" s="85" t="n">
        <x:v>0.2</x:v>
      </x:c>
      <x:c r="E11" s="82" t="str">
        <x:v>%</x:v>
      </x:c>
      <x:c r="F11" s="85" t="n">
        <x:v>0</x:v>
      </x:c>
      <x:c r="G11" s="85" t="n">
        <x:v>0.8</x:v>
      </x:c>
      <x:c r="H11" s="62" t="str">
        <x:v>給与から毎年資産へ追加</x:v>
      </x:c>
      <x:c r="I11" s="62" t="str">
        <x:v>UI推奨20%以上</x:v>
      </x:c>
      <x:c r="J11" s="63" t="str">
        <x:v>app/model.ts / app/server/calculation.ts</x:v>
      </x:c>
    </x:row>
    <x:row r="12" ht="36" customHeight="1">
      <x:c r="A12" s="42" t="str">
        <x:v>C008</x:v>
      </x:c>
      <x:c r="B12" s="43" t="str">
        <x:v>再投資</x:v>
      </x:c>
      <x:c r="C12" s="43" t="str">
        <x:v>再投資率 上限</x:v>
      </x:c>
      <x:c r="D12" s="85" t="n">
        <x:v>0.8</x:v>
      </x:c>
      <x:c r="E12" s="82" t="str">
        <x:v>%</x:v>
      </x:c>
      <x:c r="F12" s="85" t="n">
        <x:v>0</x:v>
      </x:c>
      <x:c r="G12" s="85" t="n">
        <x:v>1</x:v>
      </x:c>
      <x:c r="H12" s="62" t="str">
        <x:v>入力検証上限</x:v>
      </x:c>
      <x:c r="I12" s="62" t="str">
        <x:v>UIスライダー上限</x:v>
      </x:c>
      <x:c r="J12" s="63" t="str">
        <x:v>app/model.ts / app/server/calculation.ts</x:v>
      </x:c>
    </x:row>
    <x:row r="13" ht="36" customHeight="1">
      <x:c r="A13" s="42" t="str">
        <x:v>C009</x:v>
      </x:c>
      <x:c r="B13" s="43" t="str">
        <x:v>基準年収</x:v>
      </x:c>
      <x:c r="C13" s="43" t="str">
        <x:v>即時回復判定</x:v>
      </x:c>
      <x:c r="D13" s="85" t="n">
        <x:v>0.25</x:v>
      </x:c>
      <x:c r="E13" s="82" t="str">
        <x:v>基準年収比</x:v>
      </x:c>
      <x:c r="F13" s="85" t="n">
        <x:v>0</x:v>
      </x:c>
      <x:c r="G13" s="85" t="n">
        <x:v>1</x:v>
      </x:c>
      <x:c r="H13" s="62" t="str">
        <x:v>現在年収が基準年収の25%未満なら翌年に基準まで回復</x:v>
      </x:c>
      <x:c r="I13" s="62" t="str">
        <x:v>初年度は入力年収のまま</x:v>
      </x:c>
      <x:c r="J13" s="63" t="str">
        <x:v>app/model.ts / app/server/calculation.ts</x:v>
      </x:c>
    </x:row>
    <x:row r="14" ht="36" customHeight="1">
      <x:c r="A14" s="42" t="str">
        <x:v>C010</x:v>
      </x:c>
      <x:c r="B14" s="43" t="str">
        <x:v>基準年収</x:v>
      </x:c>
      <x:c r="C14" s="43" t="str">
        <x:v>段階回復率</x:v>
      </x:c>
      <x:c r="D14" s="85" t="n">
        <x:v>0.35</x:v>
      </x:c>
      <x:c r="E14" s="82" t="str">
        <x:v>%/年</x:v>
      </x:c>
      <x:c r="F14" s="85" t="n">
        <x:v>0</x:v>
      </x:c>
      <x:c r="G14" s="85" t="n">
        <x:v>1</x:v>
      </x:c>
      <x:c r="H14" s="62" t="str">
        <x:v>予測年収が基準未満なら差額の35%を毎年回復</x:v>
      </x:c>
      <x:c r="I14" s="62" t="str">
        <x:v>25%以上の低年収時</x:v>
      </x:c>
      <x:c r="J14" s="63" t="str">
        <x:v>app/model.ts / app/server/calculation.ts</x:v>
      </x:c>
    </x:row>
    <x:row r="15" ht="36" customHeight="1">
      <x:c r="A15" s="42" t="str">
        <x:v>C011</x:v>
      </x:c>
      <x:c r="B15" s="43" t="str">
        <x:v>年齢補正</x:v>
      </x:c>
      <x:c r="C15" s="43" t="str">
        <x:v>ピーク前年収係数 下限</x:v>
      </x:c>
      <x:c r="D15" s="85" t="n">
        <x:v>0.65</x:v>
      </x:c>
      <x:c r="E15" s="82" t="str">
        <x:v>係数</x:v>
      </x:c>
      <x:c r="F15" s="85" t="n">
        <x:v>0</x:v>
      </x:c>
      <x:c r="G15" s="85" t="n">
        <x:v>1</x:v>
      </x:c>
      <x:c r="H15" s="62" t="str">
        <x:v>基準年収×MAX(65%,1−ピークまでの年数×2%)</x:v>
      </x:c>
      <x:c r="I15" s="62" t="str">
        <x:v>専業主婦・主夫は固定</x:v>
      </x:c>
      <x:c r="J15" s="63" t="str">
        <x:v>app/model.ts / app/server/calculation.ts</x:v>
      </x:c>
    </x:row>
    <x:row r="16" ht="36" customHeight="1">
      <x:c r="A16" s="42" t="str">
        <x:v>C012</x:v>
      </x:c>
      <x:c r="B16" s="43" t="str">
        <x:v>年齢補正</x:v>
      </x:c>
      <x:c r="C16" s="43" t="str">
        <x:v>ピーク前年収係数 減衰</x:v>
      </x:c>
      <x:c r="D16" s="85" t="n">
        <x:v>0.02</x:v>
      </x:c>
      <x:c r="E16" s="82" t="str">
        <x:v>%/年</x:v>
      </x:c>
      <x:c r="F16" s="85" t="n">
        <x:v>0</x:v>
      </x:c>
      <x:c r="G16" s="85" t="str"/>
      <x:c r="H16" s="62" t="str">
        <x:v>ピークより若い年齢への補正</x:v>
      </x:c>
      <x:c r="I16" s="62" t="str"/>
      <x:c r="J16" s="63" t="str">
        <x:v>app/model.ts / app/server/calculation.ts</x:v>
      </x:c>
    </x:row>
    <x:row r="17" ht="36" customHeight="1">
      <x:c r="A17" s="42" t="str">
        <x:v>C013</x:v>
      </x:c>
      <x:c r="B17" s="43" t="str">
        <x:v>年齢補正</x:v>
      </x:c>
      <x:c r="C17" s="43" t="str">
        <x:v>ピーク後年収係数 下限</x:v>
      </x:c>
      <x:c r="D17" s="85" t="n">
        <x:v>0.55</x:v>
      </x:c>
      <x:c r="E17" s="82" t="str">
        <x:v>係数</x:v>
      </x:c>
      <x:c r="F17" s="85" t="n">
        <x:v>0</x:v>
      </x:c>
      <x:c r="G17" s="85" t="n">
        <x:v>1</x:v>
      </x:c>
      <x:c r="H17" s="62" t="str">
        <x:v>基準年収×MAX(55%,1−ピーク超過年数×2.5%)</x:v>
      </x:c>
      <x:c r="I17" s="62" t="str">
        <x:v>専業主婦・主夫は固定</x:v>
      </x:c>
      <x:c r="J17" s="63" t="str">
        <x:v>app/model.ts / app/server/calculation.ts</x:v>
      </x:c>
    </x:row>
    <x:row r="18" ht="36" customHeight="1">
      <x:c r="A18" s="42" t="str">
        <x:v>C014</x:v>
      </x:c>
      <x:c r="B18" s="43" t="str">
        <x:v>年齢補正</x:v>
      </x:c>
      <x:c r="C18" s="43" t="str">
        <x:v>ピーク後年収係数 減衰</x:v>
      </x:c>
      <x:c r="D18" s="85" t="n">
        <x:v>0.025</x:v>
      </x:c>
      <x:c r="E18" s="82" t="str">
        <x:v>%/年</x:v>
      </x:c>
      <x:c r="F18" s="85" t="n">
        <x:v>0</x:v>
      </x:c>
      <x:c r="G18" s="85" t="str"/>
      <x:c r="H18" s="62" t="str">
        <x:v>ピーク後の年齢補正</x:v>
      </x:c>
      <x:c r="I18" s="62" t="str"/>
      <x:c r="J18" s="63" t="str">
        <x:v>app/model.ts / app/server/calculation.ts</x:v>
      </x:c>
    </x:row>
    <x:row r="19" ht="36" customHeight="1">
      <x:c r="A19" s="42" t="str">
        <x:v>C015</x:v>
      </x:c>
      <x:c r="B19" s="43" t="str">
        <x:v>転職後</x:v>
      </x:c>
      <x:c r="C19" s="43" t="str">
        <x:v>職業別転職率 下限</x:v>
      </x:c>
      <x:c r="D19" s="85" t="n">
        <x:v>0.2</x:v>
      </x:c>
      <x:c r="E19" s="82" t="str">
        <x:v>%</x:v>
      </x:c>
      <x:c r="F19" s="85" t="n">
        <x:v>0</x:v>
      </x:c>
      <x:c r="G19" s="85" t="n">
        <x:v>1</x:v>
      </x:c>
      <x:c r="H19" s="62" t="str">
        <x:v>職業値+NW補正をクリップ</x:v>
      </x:c>
      <x:c r="I19" s="62" t="str"/>
      <x:c r="J19" s="63" t="str">
        <x:v>app/model.ts / app/server/calculation.ts</x:v>
      </x:c>
    </x:row>
    <x:row r="20" ht="36" customHeight="1">
      <x:c r="A20" s="42" t="str">
        <x:v>C016</x:v>
      </x:c>
      <x:c r="B20" s="43" t="str">
        <x:v>転職後</x:v>
      </x:c>
      <x:c r="C20" s="43" t="str">
        <x:v>職業別転職率 上限</x:v>
      </x:c>
      <x:c r="D20" s="85" t="n">
        <x:v>0.9</x:v>
      </x:c>
      <x:c r="E20" s="82" t="str">
        <x:v>%</x:v>
      </x:c>
      <x:c r="F20" s="85" t="n">
        <x:v>0</x:v>
      </x:c>
      <x:c r="G20" s="85" t="n">
        <x:v>1</x:v>
      </x:c>
      <x:c r="H20" s="62" t="str">
        <x:v>職業値+NW補正をクリップ</x:v>
      </x:c>
      <x:c r="I20" s="62" t="str"/>
      <x:c r="J20" s="63" t="str">
        <x:v>app/model.ts / app/server/calculation.ts</x:v>
      </x:c>
    </x:row>
    <x:row r="21" ht="36" customHeight="1">
      <x:c r="A21" s="42" t="str">
        <x:v>C017</x:v>
      </x:c>
      <x:c r="B21" s="43" t="str">
        <x:v>転職後基準</x:v>
      </x:c>
      <x:c r="C21" s="43" t="str">
        <x:v>29歳以下</x:v>
      </x:c>
      <x:c r="D21" s="86" t="n">
        <x:v>300</x:v>
      </x:c>
      <x:c r="E21" s="82" t="str">
        <x:v>万円/年</x:v>
      </x:c>
      <x:c r="F21" s="82" t="n">
        <x:v>0</x:v>
      </x:c>
      <x:c r="G21" s="82" t="str"/>
      <x:c r="H21" s="62" t="str">
        <x:v>MAX(現年収×転職率, 共通基準)</x:v>
      </x:c>
      <x:c r="I21" s="62" t="str"/>
      <x:c r="J21" s="63" t="str">
        <x:v>app/model.ts / app/server/calculation.ts</x:v>
      </x:c>
    </x:row>
    <x:row r="22" ht="36" customHeight="1">
      <x:c r="A22" s="42" t="str">
        <x:v>C018</x:v>
      </x:c>
      <x:c r="B22" s="43" t="str">
        <x:v>転職後基準</x:v>
      </x:c>
      <x:c r="C22" s="43" t="str">
        <x:v>30代</x:v>
      </x:c>
      <x:c r="D22" s="86" t="n">
        <x:v>350</x:v>
      </x:c>
      <x:c r="E22" s="82" t="str">
        <x:v>万円/年</x:v>
      </x:c>
      <x:c r="F22" s="82" t="n">
        <x:v>0</x:v>
      </x:c>
      <x:c r="G22" s="82" t="str"/>
      <x:c r="H22" s="62" t="str">
        <x:v>MAX(現年収×転職率, 共通基準)</x:v>
      </x:c>
      <x:c r="I22" s="62" t="str"/>
      <x:c r="J22" s="63" t="str">
        <x:v>app/model.ts / app/server/calculation.ts</x:v>
      </x:c>
    </x:row>
    <x:row r="23" ht="36" customHeight="1">
      <x:c r="A23" s="42" t="str">
        <x:v>C019</x:v>
      </x:c>
      <x:c r="B23" s="43" t="str">
        <x:v>転職後基準</x:v>
      </x:c>
      <x:c r="C23" s="43" t="str">
        <x:v>40代</x:v>
      </x:c>
      <x:c r="D23" s="86" t="n">
        <x:v>380</x:v>
      </x:c>
      <x:c r="E23" s="82" t="str">
        <x:v>万円/年</x:v>
      </x:c>
      <x:c r="F23" s="82" t="n">
        <x:v>0</x:v>
      </x:c>
      <x:c r="G23" s="82" t="str"/>
      <x:c r="H23" s="62" t="str">
        <x:v>MAX(現年収×転職率, 共通基準)</x:v>
      </x:c>
      <x:c r="I23" s="62" t="str"/>
      <x:c r="J23" s="63" t="str">
        <x:v>app/model.ts / app/server/calculation.ts</x:v>
      </x:c>
    </x:row>
    <x:row r="24" ht="36" customHeight="1">
      <x:c r="A24" s="42" t="str">
        <x:v>C020</x:v>
      </x:c>
      <x:c r="B24" s="43" t="str">
        <x:v>転職後基準</x:v>
      </x:c>
      <x:c r="C24" s="43" t="str">
        <x:v>50代</x:v>
      </x:c>
      <x:c r="D24" s="86" t="n">
        <x:v>340</x:v>
      </x:c>
      <x:c r="E24" s="82" t="str">
        <x:v>万円/年</x:v>
      </x:c>
      <x:c r="F24" s="82" t="n">
        <x:v>0</x:v>
      </x:c>
      <x:c r="G24" s="82" t="str"/>
      <x:c r="H24" s="62" t="str">
        <x:v>MAX(現年収×転職率, 共通基準)</x:v>
      </x:c>
      <x:c r="I24" s="62" t="str"/>
      <x:c r="J24" s="63" t="str">
        <x:v>app/model.ts / app/server/calculation.ts</x:v>
      </x:c>
    </x:row>
    <x:row r="25" ht="36" customHeight="1">
      <x:c r="A25" s="42" t="str">
        <x:v>C021</x:v>
      </x:c>
      <x:c r="B25" s="43" t="str">
        <x:v>転職後基準</x:v>
      </x:c>
      <x:c r="C25" s="43" t="str">
        <x:v>60代</x:v>
      </x:c>
      <x:c r="D25" s="86" t="n">
        <x:v>250</x:v>
      </x:c>
      <x:c r="E25" s="82" t="str">
        <x:v>万円/年</x:v>
      </x:c>
      <x:c r="F25" s="82" t="n">
        <x:v>0</x:v>
      </x:c>
      <x:c r="G25" s="82" t="str"/>
      <x:c r="H25" s="62" t="str">
        <x:v>MAX(現年収×転職率, 共通基準)</x:v>
      </x:c>
      <x:c r="I25" s="62" t="str"/>
      <x:c r="J25" s="63" t="str">
        <x:v>app/model.ts / app/server/calculation.ts</x:v>
      </x:c>
    </x:row>
    <x:row r="26" ht="36" customHeight="1">
      <x:c r="A26" s="42" t="str">
        <x:v>C022</x:v>
      </x:c>
      <x:c r="B26" s="43" t="str">
        <x:v>転職後基準</x:v>
      </x:c>
      <x:c r="C26" s="43" t="str">
        <x:v>70歳以上</x:v>
      </x:c>
      <x:c r="D26" s="86" t="n">
        <x:v>180</x:v>
      </x:c>
      <x:c r="E26" s="82" t="str">
        <x:v>万円/年</x:v>
      </x:c>
      <x:c r="F26" s="82" t="n">
        <x:v>0</x:v>
      </x:c>
      <x:c r="G26" s="82" t="str"/>
      <x:c r="H26" s="62" t="str">
        <x:v>MAX(現年収×転職率, 共通基準)</x:v>
      </x:c>
      <x:c r="I26" s="62" t="str"/>
      <x:c r="J26" s="63" t="str">
        <x:v>app/model.ts / app/server/calculation.ts</x:v>
      </x:c>
    </x:row>
    <x:row r="27" ht="36" customHeight="1">
      <x:c r="A27" s="42" t="str">
        <x:v>C023</x:v>
      </x:c>
      <x:c r="B27" s="43" t="str">
        <x:v>NW補正</x:v>
      </x:c>
      <x:c r="C27" s="43" t="str">
        <x:v>NW→給与 下限</x:v>
      </x:c>
      <x:c r="D27" s="85" t="n">
        <x:v>-0.0025</x:v>
      </x:c>
      <x:c r="E27" s="82" t="str">
        <x:v>%/年</x:v>
      </x:c>
      <x:c r="F27" s="85" t="str"/>
      <x:c r="G27" s="85" t="str"/>
      <x:c r="H27" s="62" t="str">
        <x:v>CLIP((NW−50)×0.01%, −0.25%, +0.45%)</x:v>
      </x:c>
      <x:c r="I27" s="62" t="str"/>
      <x:c r="J27" s="63" t="str">
        <x:v>app/model.ts / app/server/calculation.ts</x:v>
      </x:c>
    </x:row>
    <x:row r="28" ht="36" customHeight="1">
      <x:c r="A28" s="42" t="str">
        <x:v>C024</x:v>
      </x:c>
      <x:c r="B28" s="43" t="str">
        <x:v>NW補正</x:v>
      </x:c>
      <x:c r="C28" s="43" t="str">
        <x:v>NW→給与 上限</x:v>
      </x:c>
      <x:c r="D28" s="85" t="n">
        <x:v>0.0045</x:v>
      </x:c>
      <x:c r="E28" s="82" t="str">
        <x:v>%/年</x:v>
      </x:c>
      <x:c r="F28" s="85" t="str"/>
      <x:c r="G28" s="85" t="str"/>
      <x:c r="H28" s="62" t="str">
        <x:v>CLIP((NW−50)×0.01%, −0.25%, +0.45%)</x:v>
      </x:c>
      <x:c r="I28" s="62" t="str"/>
      <x:c r="J28" s="63" t="str">
        <x:v>app/model.ts / app/server/calculation.ts</x:v>
      </x:c>
    </x:row>
    <x:row r="29" ht="36" customHeight="1">
      <x:c r="A29" s="42" t="str">
        <x:v>C025</x:v>
      </x:c>
      <x:c r="B29" s="43" t="str">
        <x:v>NW補正</x:v>
      </x:c>
      <x:c r="C29" s="43" t="str">
        <x:v>NW→給与 傾き</x:v>
      </x:c>
      <x:c r="D29" s="85" t="n">
        <x:v>0.0001</x:v>
      </x:c>
      <x:c r="E29" s="82" t="str">
        <x:v>%/NW点</x:v>
      </x:c>
      <x:c r="F29" s="85" t="str"/>
      <x:c r="G29" s="85" t="str"/>
      <x:c r="H29" s="62" t="str">
        <x:v>(NW−50)に乗算</x:v>
      </x:c>
      <x:c r="I29" s="62" t="str"/>
      <x:c r="J29" s="63" t="str">
        <x:v>app/model.ts / app/server/calculation.ts</x:v>
      </x:c>
    </x:row>
    <x:row r="30" ht="36" customHeight="1">
      <x:c r="A30" s="42" t="str">
        <x:v>C026</x:v>
      </x:c>
      <x:c r="B30" s="43" t="str">
        <x:v>NW補正</x:v>
      </x:c>
      <x:c r="C30" s="43" t="str">
        <x:v>NW→転職後 下限</x:v>
      </x:c>
      <x:c r="D30" s="85" t="n">
        <x:v>-0.025</x:v>
      </x:c>
      <x:c r="E30" s="82" t="str">
        <x:v>%</x:v>
      </x:c>
      <x:c r="F30" s="85" t="str"/>
      <x:c r="G30" s="85" t="str"/>
      <x:c r="H30" s="62" t="str">
        <x:v>CLIP((NW−50)×0.1%, −2.5%, +4.5%)</x:v>
      </x:c>
      <x:c r="I30" s="62" t="str"/>
      <x:c r="J30" s="63" t="str">
        <x:v>app/model.ts / app/server/calculation.ts</x:v>
      </x:c>
    </x:row>
    <x:row r="31" ht="36" customHeight="1">
      <x:c r="A31" s="42" t="str">
        <x:v>C027</x:v>
      </x:c>
      <x:c r="B31" s="43" t="str">
        <x:v>NW補正</x:v>
      </x:c>
      <x:c r="C31" s="43" t="str">
        <x:v>NW→転職後 上限</x:v>
      </x:c>
      <x:c r="D31" s="85" t="n">
        <x:v>0.045</x:v>
      </x:c>
      <x:c r="E31" s="82" t="str">
        <x:v>%</x:v>
      </x:c>
      <x:c r="F31" s="85" t="str"/>
      <x:c r="G31" s="85" t="str"/>
      <x:c r="H31" s="62" t="str">
        <x:v>CLIP((NW−50)×0.1%, −2.5%, +4.5%)</x:v>
      </x:c>
      <x:c r="I31" s="62" t="str"/>
      <x:c r="J31" s="63" t="str">
        <x:v>app/model.ts / app/server/calculation.ts</x:v>
      </x:c>
    </x:row>
    <x:row r="32" ht="36" customHeight="1">
      <x:c r="A32" s="42" t="str">
        <x:v>C028</x:v>
      </x:c>
      <x:c r="B32" s="43" t="str">
        <x:v>NW補正</x:v>
      </x:c>
      <x:c r="C32" s="43" t="str">
        <x:v>NW→転職後 傾き</x:v>
      </x:c>
      <x:c r="D32" s="85" t="n">
        <x:v>0.001</x:v>
      </x:c>
      <x:c r="E32" s="82" t="str">
        <x:v>%/NW点</x:v>
      </x:c>
      <x:c r="F32" s="85" t="str"/>
      <x:c r="G32" s="85" t="str"/>
      <x:c r="H32" s="62" t="str">
        <x:v>(NW−50)に乗算</x:v>
      </x:c>
      <x:c r="I32" s="62" t="str"/>
      <x:c r="J32" s="63" t="str">
        <x:v>app/model.ts / app/server/calculation.ts</x:v>
      </x:c>
    </x:row>
    <x:row r="33" ht="36" customHeight="1">
      <x:c r="A33" s="42" t="str">
        <x:v>C029</x:v>
      </x:c>
      <x:c r="B33" s="43" t="str">
        <x:v>TIER</x:v>
      </x:c>
      <x:c r="C33" s="43" t="str">
        <x:v>S TIER 下限</x:v>
      </x:c>
      <x:c r="D33" s="86" t="n">
        <x:v>50000</x:v>
      </x:c>
      <x:c r="E33" s="82" t="str">
        <x:v>万円</x:v>
      </x:c>
      <x:c r="F33" s="82" t="n">
        <x:v>0</x:v>
      </x:c>
      <x:c r="G33" s="82" t="str"/>
      <x:c r="H33" s="62" t="str">
        <x:v>時価総額が5億円以上</x:v>
      </x:c>
      <x:c r="I33" s="62" t="str"/>
      <x:c r="J33" s="63" t="str">
        <x:v>app/model.ts / app/server/calculation.ts</x:v>
      </x:c>
    </x:row>
    <x:row r="34" ht="36" customHeight="1">
      <x:c r="A34" s="42" t="str">
        <x:v>C030</x:v>
      </x:c>
      <x:c r="B34" s="43" t="str">
        <x:v>TIER</x:v>
      </x:c>
      <x:c r="C34" s="43" t="str">
        <x:v>A TIER 下限</x:v>
      </x:c>
      <x:c r="D34" s="86" t="n">
        <x:v>20000</x:v>
      </x:c>
      <x:c r="E34" s="82" t="str">
        <x:v>万円</x:v>
      </x:c>
      <x:c r="F34" s="82" t="n">
        <x:v>0</x:v>
      </x:c>
      <x:c r="G34" s="82" t="str"/>
      <x:c r="H34" s="62" t="str">
        <x:v>時価総額が2億円以上</x:v>
      </x:c>
      <x:c r="I34" s="62" t="str"/>
      <x:c r="J34" s="63" t="str">
        <x:v>app/model.ts / app/server/calculation.ts</x:v>
      </x:c>
    </x:row>
    <x:row r="35" ht="36" customHeight="1">
      <x:c r="A35" s="42" t="str">
        <x:v>C031</x:v>
      </x:c>
      <x:c r="B35" s="43" t="str">
        <x:v>TIER</x:v>
      </x:c>
      <x:c r="C35" s="43" t="str">
        <x:v>B TIER 下限</x:v>
      </x:c>
      <x:c r="D35" s="86" t="n">
        <x:v>8000</x:v>
      </x:c>
      <x:c r="E35" s="82" t="str">
        <x:v>万円</x:v>
      </x:c>
      <x:c r="F35" s="82" t="n">
        <x:v>0</x:v>
      </x:c>
      <x:c r="G35" s="82" t="str"/>
      <x:c r="H35" s="62" t="str">
        <x:v>時価総額が8,000万円以上</x:v>
      </x:c>
      <x:c r="I35" s="62" t="str"/>
      <x:c r="J35" s="63" t="str">
        <x:v>app/model.ts / app/server/calculation.ts</x:v>
      </x:c>
    </x:row>
    <x:row r="36" ht="36" customHeight="1">
      <x:c r="A36" s="42" t="str">
        <x:v>C032</x:v>
      </x:c>
      <x:c r="B36" s="43" t="str">
        <x:v>TIER</x:v>
      </x:c>
      <x:c r="C36" s="43" t="str">
        <x:v>C TIER 下限</x:v>
      </x:c>
      <x:c r="D36" s="86" t="n">
        <x:v>2000</x:v>
      </x:c>
      <x:c r="E36" s="82" t="str">
        <x:v>万円</x:v>
      </x:c>
      <x:c r="F36" s="82" t="n">
        <x:v>0</x:v>
      </x:c>
      <x:c r="G36" s="82" t="str"/>
      <x:c r="H36" s="62" t="str">
        <x:v>時価総額が2,000万円以上</x:v>
      </x:c>
      <x:c r="I36" s="62" t="str"/>
      <x:c r="J36" s="63" t="str">
        <x:v>app/model.ts / app/server/calculation.ts</x:v>
      </x:c>
    </x:row>
    <x:row r="37" ht="36" customHeight="1">
      <x:c r="A37" s="42" t="str">
        <x:v>C033</x:v>
      </x:c>
      <x:c r="B37" s="43" t="str">
        <x:v>ランキング</x:v>
      </x:c>
      <x:c r="C37" s="43" t="str">
        <x:v>最大保存人数</x:v>
      </x:c>
      <x:c r="D37" s="86" t="n">
        <x:v>1000</x:v>
      </x:c>
      <x:c r="E37" s="82" t="str">
        <x:v>人</x:v>
      </x:c>
      <x:c r="F37" s="82" t="n">
        <x:v>1</x:v>
      </x:c>
      <x:c r="G37" s="82" t="str"/>
      <x:c r="H37" s="62" t="str">
        <x:v>UIDごとに最新1件。超過時は低スコアから削除</x:v>
      </x:c>
      <x:c r="I37" s="62" t="str"/>
      <x:c r="J37" s="63" t="str">
        <x:v>app/model.ts / app/server/calculation.ts</x:v>
      </x:c>
    </x:row>
    <x:row r="38" ht="36" customHeight="1">
      <x:c r="A38" s="45" t="str">
        <x:v>C034</x:v>
      </x:c>
      <x:c r="B38" s="46" t="str">
        <x:v>利回り</x:v>
      </x:c>
      <x:c r="C38" s="46" t="str">
        <x:v>実効利回り上限</x:v>
      </x:c>
      <x:c r="D38" s="83" t="str">
        <x:v>なし</x:v>
      </x:c>
      <x:c r="E38" s="83" t="str">
        <x:v>—</x:v>
      </x:c>
      <x:c r="F38" s="83" t="str"/>
      <x:c r="G38" s="83" t="str"/>
      <x:c r="H38" s="64" t="str">
        <x:v>職業基本利回り+クイズ補正+容姿補正</x:v>
      </x:c>
      <x:c r="I38" s="64" t="str">
        <x:v>マイナスも許容</x:v>
      </x:c>
      <x:c r="J38" s="65" t="str">
        <x:v>app/model.ts / app/server/calculation.ts</x:v>
      </x:c>
    </x:row>
  </x:sheetData>
  <x:mergeCells>
    <x:mergeCell ref="A1:J1"/>
    <x:mergeCell ref="A2:J2"/>
  </x:mergeCells>
  <x:pageMargins left="0.7" right="0.7" top="0.75" bottom="0.75" header="0.3" footer="0.3"/>
  <x:tableParts count="1">
    <x:tablePart xmlns:r="http://schemas.openxmlformats.org/officeDocument/2006/relationships" r:id="R043ac9735741434b"/>
  </x:tableParts>
</x:worksheet>
</file>

<file path=xl/worksheets/sheet3.xml><?xml version="1.0" encoding="utf-8"?>
<x:worksheet xmlns:x="http://schemas.openxmlformats.org/spreadsheetml/2006/main">
  <x:sheetFormatPr defaultRowHeight="15"/>
  <x:cols>
    <x:col min="1" max="1" width="8" hidden="0" customWidth="1"/>
    <x:col min="2" max="2" width="25" hidden="0" customWidth="1"/>
    <x:col min="3" max="3" width="44" hidden="0" customWidth="1"/>
    <x:col min="4" max="4" width="15" hidden="0" customWidth="1"/>
    <x:col min="5" max="5" width="12" hidden="0" customWidth="1"/>
    <x:col min="6" max="6" width="16" hidden="0" customWidth="1"/>
    <x:col min="7" max="7" width="17" hidden="0" customWidth="1"/>
    <x:col min="8" max="8" width="34" hidden="0" customWidth="1"/>
    <x:col min="9" max="9" width="20" hidden="0" customWidth="1"/>
  </x:cols>
  <x:sheetData>
    <x:row r="1" ht="34" customHeight="1">
      <x:c r="A1" s="3" t="str">
        <x:v>学歴パラメータ</x:v>
      </x:c>
      <x:c r="B1" s="3"/>
      <x:c r="C1" s="3"/>
      <x:c r="D1" s="3"/>
      <x:c r="E1" s="3"/>
      <x:c r="F1" s="3"/>
      <x:c r="G1" s="3"/>
      <x:c r="H1" s="3"/>
      <x:c r="I1" s="3"/>
    </x:row>
    <x:row r="2" ht="30" customHeight="1">
      <x:c r="A2" s="7" t="str">
        <x:v>学歴乗数は給与所得総額へ乗算。NW力は給与成長と転職後収入率に影響します。</x:v>
      </x:c>
      <x:c r="B2" s="7"/>
      <x:c r="C2" s="7"/>
      <x:c r="D2" s="7"/>
      <x:c r="E2" s="7"/>
      <x:c r="F2" s="7"/>
      <x:c r="G2" s="7"/>
      <x:c r="H2" s="7"/>
      <x:c r="I2" s="7"/>
    </x:row>
    <x:row r="4" ht="34" customHeight="1">
      <x:c r="A4" s="18" t="str">
        <x:v>No.</x:v>
      </x:c>
      <x:c r="B4" s="19" t="str">
        <x:v>学歴key</x:v>
      </x:c>
      <x:c r="C4" s="19" t="str">
        <x:v>表示名</x:v>
      </x:c>
      <x:c r="D4" s="19" t="str">
        <x:v>学歴乗数</x:v>
      </x:c>
      <x:c r="E4" s="19" t="str">
        <x:v>NW力</x:v>
      </x:c>
      <x:c r="F4" s="19" t="str">
        <x:v>NW→給与</x:v>
      </x:c>
      <x:c r="G4" s="19" t="str">
        <x:v>NW→転職後</x:v>
      </x:c>
      <x:c r="H4" s="19" t="str">
        <x:v>比較メモ</x:v>
      </x:c>
      <x:c r="I4" s="20" t="str">
        <x:v>ソース</x:v>
      </x:c>
    </x:row>
    <x:row r="5" ht="30" customHeight="1">
      <x:c r="A5" s="93" t="n">
        <x:v>1</x:v>
      </x:c>
      <x:c r="B5" s="81" t="str">
        <x:v>top100</x:v>
      </x:c>
      <x:c r="C5" s="81" t="str">
        <x:v>海外有名大学（Top100圏）</x:v>
      </x:c>
      <x:c r="D5" s="87" t="n">
        <x:v>1.06</x:v>
      </x:c>
      <x:c r="E5" s="96" t="n">
        <x:v>95</x:v>
      </x:c>
      <x:c r="F5" s="90" t="n">
        <x:f>MIN('共通設定'!$D$28,MAX('共通設定'!$D$27,(E5-50)*'共通設定'!$D$29))</x:f>
        <x:v>0.0045</x:v>
      </x:c>
      <x:c r="G5" s="90" t="n">
        <x:f>MIN('共通設定'!$D$31,MAX('共通設定'!$D$30,(E5-50)*'共通設定'!$D$32))</x:f>
        <x:v>0.045</x:v>
      </x:c>
      <x:c r="H5" s="60" t="str">
        <x:v>海外Top100のみ。東大・京大より上位設定</x:v>
      </x:c>
      <x:c r="I5" s="61" t="str">
        <x:v>app/model.ts</x:v>
      </x:c>
    </x:row>
    <x:row r="6" ht="30" customHeight="1">
      <x:c r="A6" s="94" t="n">
        <x:v>2</x:v>
      </x:c>
      <x:c r="B6" s="82" t="str">
        <x:v>tokyoKyotoDoctor</x:v>
      </x:c>
      <x:c r="C6" s="82" t="str">
        <x:v>東京大学・京都大学 博士</x:v>
      </x:c>
      <x:c r="D6" s="88" t="n">
        <x:v>1.055</x:v>
      </x:c>
      <x:c r="E6" s="86" t="n">
        <x:v>93</x:v>
      </x:c>
      <x:c r="F6" s="91" t="n">
        <x:f>MIN('共通設定'!$D$28,MAX('共通設定'!$D$27,(E6-50)*'共通設定'!$D$29))</x:f>
        <x:v>0.0043</x:v>
      </x:c>
      <x:c r="G6" s="91" t="n">
        <x:f>MIN('共通設定'!$D$31,MAX('共通設定'!$D$30,(E6-50)*'共通設定'!$D$32))</x:f>
        <x:v>0.043000000000000003</x:v>
      </x:c>
      <x:c r="H6" s="62" t="str"/>
      <x:c r="I6" s="63" t="str">
        <x:v>app/model.ts</x:v>
      </x:c>
    </x:row>
    <x:row r="7" ht="30" customHeight="1">
      <x:c r="A7" s="94" t="n">
        <x:v>3</x:v>
      </x:c>
      <x:c r="B7" s="82" t="str">
        <x:v>tokyoKyotoMaster</x:v>
      </x:c>
      <x:c r="C7" s="82" t="str">
        <x:v>東京大学・京都大学 修士</x:v>
      </x:c>
      <x:c r="D7" s="88" t="n">
        <x:v>1.05</x:v>
      </x:c>
      <x:c r="E7" s="86" t="n">
        <x:v>90</x:v>
      </x:c>
      <x:c r="F7" s="91" t="n">
        <x:f>MIN('共通設定'!$D$28,MAX('共通設定'!$D$27,(E7-50)*'共通設定'!$D$29))</x:f>
        <x:v>0.004</x:v>
      </x:c>
      <x:c r="G7" s="91" t="n">
        <x:f>MIN('共通設定'!$D$31,MAX('共通設定'!$D$30,(E7-50)*'共通設定'!$D$32))</x:f>
        <x:v>0.04</x:v>
      </x:c>
      <x:c r="H7" s="62" t="str"/>
      <x:c r="I7" s="63" t="str">
        <x:v>app/model.ts</x:v>
      </x:c>
    </x:row>
    <x:row r="8" ht="30" customHeight="1">
      <x:c r="A8" s="94" t="n">
        <x:v>4</x:v>
      </x:c>
      <x:c r="B8" s="82" t="str">
        <x:v>tokyoKyotoBachelor</x:v>
      </x:c>
      <x:c r="C8" s="82" t="str">
        <x:v>東京大学・京都大学 学部</x:v>
      </x:c>
      <x:c r="D8" s="88" t="n">
        <x:v>1.045</x:v>
      </x:c>
      <x:c r="E8" s="86" t="n">
        <x:v>88</x:v>
      </x:c>
      <x:c r="F8" s="91" t="n">
        <x:f>MIN('共通設定'!$D$28,MAX('共通設定'!$D$27,(E8-50)*'共通設定'!$D$29))</x:f>
        <x:v>0.0038</x:v>
      </x:c>
      <x:c r="G8" s="91" t="n">
        <x:f>MIN('共通設定'!$D$31,MAX('共通設定'!$D$30,(E8-50)*'共通設定'!$D$32))</x:f>
        <x:v>0.038</x:v>
      </x:c>
      <x:c r="H8" s="62" t="str"/>
      <x:c r="I8" s="63" t="str">
        <x:v>app/model.ts</x:v>
      </x:c>
    </x:row>
    <x:row r="9" ht="30" customHeight="1">
      <x:c r="A9" s="94" t="n">
        <x:v>5</x:v>
      </x:c>
      <x:c r="B9" s="82" t="str">
        <x:v>eliteDoctor</x:v>
      </x:c>
      <x:c r="C9" s="82" t="str">
        <x:v>一橋・東京科学・その他旧帝大 博士</x:v>
      </x:c>
      <x:c r="D9" s="88" t="n">
        <x:v>1.04</x:v>
      </x:c>
      <x:c r="E9" s="86" t="n">
        <x:v>85</x:v>
      </x:c>
      <x:c r="F9" s="91" t="n">
        <x:f>MIN('共通設定'!$D$28,MAX('共通設定'!$D$27,(E9-50)*'共通設定'!$D$29))</x:f>
        <x:v>0.0035</x:v>
      </x:c>
      <x:c r="G9" s="91" t="n">
        <x:f>MIN('共通設定'!$D$31,MAX('共通設定'!$D$30,(E9-50)*'共通設定'!$D$32))</x:f>
        <x:v>0.035</x:v>
      </x:c>
      <x:c r="H9" s="62" t="str"/>
      <x:c r="I9" s="63" t="str">
        <x:v>app/model.ts</x:v>
      </x:c>
    </x:row>
    <x:row r="10" ht="30" customHeight="1">
      <x:c r="A10" s="94" t="n">
        <x:v>6</x:v>
      </x:c>
      <x:c r="B10" s="82" t="str">
        <x:v>eliteMaster</x:v>
      </x:c>
      <x:c r="C10" s="82" t="str">
        <x:v>一橋・東京科学・その他旧帝大 修士</x:v>
      </x:c>
      <x:c r="D10" s="88" t="n">
        <x:v>1.035</x:v>
      </x:c>
      <x:c r="E10" s="86" t="n">
        <x:v>82</x:v>
      </x:c>
      <x:c r="F10" s="91" t="n">
        <x:f>MIN('共通設定'!$D$28,MAX('共通設定'!$D$27,(E10-50)*'共通設定'!$D$29))</x:f>
        <x:v>0.0032</x:v>
      </x:c>
      <x:c r="G10" s="91" t="n">
        <x:f>MIN('共通設定'!$D$31,MAX('共通設定'!$D$30,(E10-50)*'共通設定'!$D$32))</x:f>
        <x:v>0.032</x:v>
      </x:c>
      <x:c r="H10" s="62" t="str"/>
      <x:c r="I10" s="63" t="str">
        <x:v>app/model.ts</x:v>
      </x:c>
    </x:row>
    <x:row r="11" ht="30" customHeight="1">
      <x:c r="A11" s="94" t="n">
        <x:v>7</x:v>
      </x:c>
      <x:c r="B11" s="82" t="str">
        <x:v>eliteBachelor</x:v>
      </x:c>
      <x:c r="C11" s="82" t="str">
        <x:v>一橋・東京科学・その他旧帝大 学部</x:v>
      </x:c>
      <x:c r="D11" s="88" t="n">
        <x:v>1.03</x:v>
      </x:c>
      <x:c r="E11" s="86" t="n">
        <x:v>80</x:v>
      </x:c>
      <x:c r="F11" s="91" t="n">
        <x:f>MIN('共通設定'!$D$28,MAX('共通設定'!$D$27,(E11-50)*'共通設定'!$D$29))</x:f>
        <x:v>0.003</x:v>
      </x:c>
      <x:c r="G11" s="91" t="n">
        <x:f>MIN('共通設定'!$D$31,MAX('共通設定'!$D$30,(E11-50)*'共通設定'!$D$32))</x:f>
        <x:v>0.03</x:v>
      </x:c>
      <x:c r="H11" s="62" t="str"/>
      <x:c r="I11" s="63" t="str">
        <x:v>app/model.ts</x:v>
      </x:c>
    </x:row>
    <x:row r="12" ht="30" customHeight="1">
      <x:c r="A12" s="94" t="n">
        <x:v>8</x:v>
      </x:c>
      <x:c r="B12" s="82" t="str">
        <x:v>sokeiGraduate</x:v>
      </x:c>
      <x:c r="C12" s="82" t="str">
        <x:v>早稲田・慶應 大学院</x:v>
      </x:c>
      <x:c r="D12" s="88" t="n">
        <x:v>1.025</x:v>
      </x:c>
      <x:c r="E12" s="86" t="n">
        <x:v>77</x:v>
      </x:c>
      <x:c r="F12" s="91" t="n">
        <x:f>MIN('共通設定'!$D$28,MAX('共通設定'!$D$27,(E12-50)*'共通設定'!$D$29))</x:f>
        <x:v>0.0027</x:v>
      </x:c>
      <x:c r="G12" s="91" t="n">
        <x:f>MIN('共通設定'!$D$31,MAX('共通設定'!$D$30,(E12-50)*'共通設定'!$D$32))</x:f>
        <x:v>0.027</x:v>
      </x:c>
      <x:c r="H12" s="62" t="str"/>
      <x:c r="I12" s="63" t="str">
        <x:v>app/model.ts</x:v>
      </x:c>
    </x:row>
    <x:row r="13" ht="30" customHeight="1">
      <x:c r="A13" s="94" t="n">
        <x:v>9</x:v>
      </x:c>
      <x:c r="B13" s="82" t="str">
        <x:v>sokeiBachelor</x:v>
      </x:c>
      <x:c r="C13" s="82" t="str">
        <x:v>早稲田・慶應 学部</x:v>
      </x:c>
      <x:c r="D13" s="88" t="n">
        <x:v>1.02</x:v>
      </x:c>
      <x:c r="E13" s="86" t="n">
        <x:v>74</x:v>
      </x:c>
      <x:c r="F13" s="91" t="n">
        <x:f>MIN('共通設定'!$D$28,MAX('共通設定'!$D$27,(E13-50)*'共通設定'!$D$29))</x:f>
        <x:v>0.0024000000000000002</x:v>
      </x:c>
      <x:c r="G13" s="91" t="n">
        <x:f>MIN('共通設定'!$D$31,MAX('共通設定'!$D$30,(E13-50)*'共通設定'!$D$32))</x:f>
        <x:v>0.024</x:v>
      </x:c>
      <x:c r="H13" s="62" t="str"/>
      <x:c r="I13" s="63" t="str">
        <x:v>app/model.ts</x:v>
      </x:c>
    </x:row>
    <x:row r="14" ht="30" customHeight="1">
      <x:c r="A14" s="94" t="n">
        <x:v>10</x:v>
      </x:c>
      <x:c r="B14" s="82" t="str">
        <x:v>upperUniversity</x:v>
      </x:c>
      <x:c r="C14" s="82" t="str">
        <x:v>上位国公立・上智・東京理科</x:v>
      </x:c>
      <x:c r="D14" s="88" t="n">
        <x:v>1.015</x:v>
      </x:c>
      <x:c r="E14" s="86" t="n">
        <x:v>68</x:v>
      </x:c>
      <x:c r="F14" s="91" t="n">
        <x:f>MIN('共通設定'!$D$28,MAX('共通設定'!$D$27,(E14-50)*'共通設定'!$D$29))</x:f>
        <x:v>0.0018000000000000002</x:v>
      </x:c>
      <x:c r="G14" s="91" t="n">
        <x:f>MIN('共通設定'!$D$31,MAX('共通設定'!$D$30,(E14-50)*'共通設定'!$D$32))</x:f>
        <x:v>0.018000000000000002</x:v>
      </x:c>
      <x:c r="H14" s="62" t="str"/>
      <x:c r="I14" s="63" t="str">
        <x:v>app/model.ts</x:v>
      </x:c>
    </x:row>
    <x:row r="15" ht="30" customHeight="1">
      <x:c r="A15" s="94" t="n">
        <x:v>11</x:v>
      </x:c>
      <x:c r="B15" s="82" t="str">
        <x:v>march</x:v>
      </x:c>
      <x:c r="C15" s="82" t="str">
        <x:v>MARCH・関関同立</x:v>
      </x:c>
      <x:c r="D15" s="88" t="n">
        <x:v>1.01</x:v>
      </x:c>
      <x:c r="E15" s="86" t="n">
        <x:v>61</x:v>
      </x:c>
      <x:c r="F15" s="91" t="n">
        <x:f>MIN('共通設定'!$D$28,MAX('共通設定'!$D$27,(E15-50)*'共通設定'!$D$29))</x:f>
        <x:v>0.0011</x:v>
      </x:c>
      <x:c r="G15" s="91" t="n">
        <x:f>MIN('共通設定'!$D$31,MAX('共通設定'!$D$30,(E15-50)*'共通設定'!$D$32))</x:f>
        <x:v>0.011</x:v>
      </x:c>
      <x:c r="H15" s="62" t="str"/>
      <x:c r="I15" s="63" t="str">
        <x:v>app/model.ts</x:v>
      </x:c>
    </x:row>
    <x:row r="16" ht="30" customHeight="1">
      <x:c r="A16" s="94" t="n">
        <x:v>12</x:v>
      </x:c>
      <x:c r="B16" s="82" t="str">
        <x:v>university</x:v>
      </x:c>
      <x:c r="C16" s="82" t="str">
        <x:v>大学卒（その他）</x:v>
      </x:c>
      <x:c r="D16" s="88" t="n">
        <x:v>1</x:v>
      </x:c>
      <x:c r="E16" s="86" t="n">
        <x:v>50</x:v>
      </x:c>
      <x:c r="F16" s="91" t="n">
        <x:f>MIN('共通設定'!$D$28,MAX('共通設定'!$D$27,(E16-50)*'共通設定'!$D$29))</x:f>
        <x:v>0</x:v>
      </x:c>
      <x:c r="G16" s="91" t="n">
        <x:f>MIN('共通設定'!$D$31,MAX('共通設定'!$D$30,(E16-50)*'共通設定'!$D$32))</x:f>
        <x:v>0</x:v>
      </x:c>
      <x:c r="H16" s="62" t="str"/>
      <x:c r="I16" s="63" t="str">
        <x:v>app/model.ts</x:v>
      </x:c>
    </x:row>
    <x:row r="17" ht="30" customHeight="1">
      <x:c r="A17" s="94" t="n">
        <x:v>13</x:v>
      </x:c>
      <x:c r="B17" s="82" t="str">
        <x:v>vocational</x:v>
      </x:c>
      <x:c r="C17" s="82" t="str">
        <x:v>専門学校・短大卒</x:v>
      </x:c>
      <x:c r="D17" s="88" t="n">
        <x:v>0.995</x:v>
      </x:c>
      <x:c r="E17" s="86" t="n">
        <x:v>42</x:v>
      </x:c>
      <x:c r="F17" s="91" t="n">
        <x:f>MIN('共通設定'!$D$28,MAX('共通設定'!$D$27,(E17-50)*'共通設定'!$D$29))</x:f>
        <x:v>-0.0008</x:v>
      </x:c>
      <x:c r="G17" s="91" t="n">
        <x:f>MIN('共通設定'!$D$31,MAX('共通設定'!$D$30,(E17-50)*'共通設定'!$D$32))</x:f>
        <x:v>-0.008</x:v>
      </x:c>
      <x:c r="H17" s="62" t="str"/>
      <x:c r="I17" s="63" t="str">
        <x:v>app/model.ts</x:v>
      </x:c>
    </x:row>
    <x:row r="18" ht="30" customHeight="1">
      <x:c r="A18" s="94" t="n">
        <x:v>14</x:v>
      </x:c>
      <x:c r="B18" s="82" t="str">
        <x:v>highSchool</x:v>
      </x:c>
      <x:c r="C18" s="82" t="str">
        <x:v>高卒</x:v>
      </x:c>
      <x:c r="D18" s="88" t="n">
        <x:v>0.99</x:v>
      </x:c>
      <x:c r="E18" s="86" t="n">
        <x:v>35</x:v>
      </x:c>
      <x:c r="F18" s="91" t="n">
        <x:f>MIN('共通設定'!$D$28,MAX('共通設定'!$D$27,(E18-50)*'共通設定'!$D$29))</x:f>
        <x:v>-0.0015</x:v>
      </x:c>
      <x:c r="G18" s="91" t="n">
        <x:f>MIN('共通設定'!$D$31,MAX('共通設定'!$D$30,(E18-50)*'共通設定'!$D$32))</x:f>
        <x:v>-0.015</x:v>
      </x:c>
      <x:c r="H18" s="62" t="str"/>
      <x:c r="I18" s="63" t="str">
        <x:v>app/model.ts</x:v>
      </x:c>
    </x:row>
    <x:row r="19" ht="30" customHeight="1">
      <x:c r="A19" s="95" t="n">
        <x:v>15</x:v>
      </x:c>
      <x:c r="B19" s="83" t="str">
        <x:v>middleSchool</x:v>
      </x:c>
      <x:c r="C19" s="83" t="str">
        <x:v>中卒</x:v>
      </x:c>
      <x:c r="D19" s="89" t="n">
        <x:v>0.98</x:v>
      </x:c>
      <x:c r="E19" s="97" t="n">
        <x:v>25</x:v>
      </x:c>
      <x:c r="F19" s="92" t="n">
        <x:f>MIN('共通設定'!$D$28,MAX('共通設定'!$D$27,(E19-50)*'共通設定'!$D$29))</x:f>
        <x:v>-0.0025</x:v>
      </x:c>
      <x:c r="G19" s="92" t="n">
        <x:f>MIN('共通設定'!$D$31,MAX('共通設定'!$D$30,(E19-50)*'共通設定'!$D$32))</x:f>
        <x:v>-0.025</x:v>
      </x:c>
      <x:c r="H19" s="64" t="str"/>
      <x:c r="I19" s="65" t="str">
        <x:v>app/model.ts</x:v>
      </x:c>
    </x:row>
  </x:sheetData>
  <x:mergeCells>
    <x:mergeCell ref="A1:I1"/>
    <x:mergeCell ref="A2:I2"/>
  </x:mergeCells>
  <x:pageMargins left="0.7" right="0.7" top="0.75" bottom="0.75" header="0.3" footer="0.3"/>
  <x:tableParts count="1">
    <x:tablePart xmlns:r="http://schemas.openxmlformats.org/officeDocument/2006/relationships" r:id="Rd34c61bbf3a84c94"/>
  </x:tableParts>
</x:worksheet>
</file>

<file path=xl/worksheets/sheet4.xml><?xml version="1.0" encoding="utf-8"?>
<x:worksheet xmlns:x="http://schemas.openxmlformats.org/spreadsheetml/2006/main">
  <x:sheetFormatPr defaultRowHeight="15"/>
  <x:cols>
    <x:col min="1" max="1" width="8" hidden="0" customWidth="1"/>
    <x:col min="2" max="2" width="17" hidden="0" customWidth="1"/>
    <x:col min="3" max="3" width="18" hidden="0" customWidth="1"/>
    <x:col min="4" max="4" width="19" hidden="0" customWidth="1"/>
    <x:col min="5" max="5" width="19" hidden="0" customWidth="1"/>
    <x:col min="6" max="6" width="37" hidden="0" customWidth="1"/>
    <x:col min="7" max="7" width="39" hidden="0" customWidth="1"/>
    <x:col min="8" max="8" width="20" hidden="0" customWidth="1"/>
  </x:cols>
  <x:sheetData>
    <x:row r="1" ht="34" customHeight="1">
      <x:c r="A1" s="3" t="str">
        <x:v>容姿パラメータ</x:v>
      </x:c>
      <x:c r="B1" s="3"/>
      <x:c r="C1" s="3"/>
      <x:c r="D1" s="3"/>
      <x:c r="E1" s="3"/>
      <x:c r="F1" s="3"/>
      <x:c r="G1" s="3"/>
      <x:c r="H1" s="3"/>
    </x:row>
    <x:row r="2" ht="30" customHeight="1">
      <x:c r="A2" s="7" t="str">
        <x:v>給与成長は職業別倍率を掛けます。資産利回り補正には職業別倍率を掛けません。良い容姿ほど利回りは低い設計です。</x:v>
      </x:c>
      <x:c r="B2" s="7"/>
      <x:c r="C2" s="7"/>
      <x:c r="D2" s="7"/>
      <x:c r="E2" s="7"/>
      <x:c r="F2" s="7"/>
      <x:c r="G2" s="7"/>
      <x:c r="H2" s="7"/>
    </x:row>
    <x:row r="4" ht="34" customHeight="1">
      <x:c r="A4" s="18" t="str">
        <x:v>No.</x:v>
      </x:c>
      <x:c r="B4" s="19" t="str">
        <x:v>容姿key</x:v>
      </x:c>
      <x:c r="C4" s="19" t="str">
        <x:v>表示名</x:v>
      </x:c>
      <x:c r="D4" s="19" t="str">
        <x:v>給与成長ベース</x:v>
      </x:c>
      <x:c r="E4" s="19" t="str">
        <x:v>資産利回り補正</x:v>
      </x:c>
      <x:c r="F4" s="19" t="str">
        <x:v>給与への適用</x:v>
      </x:c>
      <x:c r="G4" s="19" t="str">
        <x:v>利回りの意図</x:v>
      </x:c>
      <x:c r="H4" s="20" t="str">
        <x:v>ソース</x:v>
      </x:c>
    </x:row>
    <x:row r="5" ht="38" customHeight="1">
      <x:c r="A5" s="39" t="n">
        <x:v>1</x:v>
      </x:c>
      <x:c r="B5" s="81" t="str">
        <x:v>top10</x:v>
      </x:c>
      <x:c r="C5" s="81" t="str">
        <x:v>上位10%</x:v>
      </x:c>
      <x:c r="D5" s="84" t="n">
        <x:v>0.006</x:v>
      </x:c>
      <x:c r="E5" s="84" t="n">
        <x:v>-0.01</x:v>
      </x:c>
      <x:c r="F5" s="60" t="str">
        <x:v>給与成長ベース × 職業別容姿倍率</x:v>
      </x:c>
      <x:c r="G5" s="60" t="str">
        <x:v>良いほど消費・機会費用が増え、利回りを下げる</x:v>
      </x:c>
      <x:c r="H5" s="61" t="str">
        <x:v>app/model.ts</x:v>
      </x:c>
    </x:row>
    <x:row r="6" ht="38" customHeight="1">
      <x:c r="A6" s="42" t="n">
        <x:v>2</x:v>
      </x:c>
      <x:c r="B6" s="82" t="str">
        <x:v>top35</x:v>
      </x:c>
      <x:c r="C6" s="82" t="str">
        <x:v>上位35%</x:v>
      </x:c>
      <x:c r="D6" s="85" t="n">
        <x:v>0.003</x:v>
      </x:c>
      <x:c r="E6" s="85" t="n">
        <x:v>-0.005</x:v>
      </x:c>
      <x:c r="F6" s="62" t="str">
        <x:v>給与成長ベース × 職業別容姿倍率</x:v>
      </x:c>
      <x:c r="G6" s="62" t="str">
        <x:v>良いほど消費・機会費用が増え、利回りを下げる</x:v>
      </x:c>
      <x:c r="H6" s="63" t="str">
        <x:v>app/model.ts</x:v>
      </x:c>
    </x:row>
    <x:row r="7" ht="38" customHeight="1">
      <x:c r="A7" s="42" t="n">
        <x:v>3</x:v>
      </x:c>
      <x:c r="B7" s="82" t="str">
        <x:v>middle</x:v>
      </x:c>
      <x:c r="C7" s="82" t="str">
        <x:v>中間</x:v>
      </x:c>
      <x:c r="D7" s="85" t="n">
        <x:v>0</x:v>
      </x:c>
      <x:c r="E7" s="85" t="n">
        <x:v>0</x:v>
      </x:c>
      <x:c r="F7" s="62" t="str">
        <x:v>給与成長ベース × 職業別容姿倍率</x:v>
      </x:c>
      <x:c r="G7" s="62" t="str">
        <x:v>補正なし</x:v>
      </x:c>
      <x:c r="H7" s="63" t="str">
        <x:v>app/model.ts</x:v>
      </x:c>
    </x:row>
    <x:row r="8" ht="38" customHeight="1">
      <x:c r="A8" s="42" t="n">
        <x:v>4</x:v>
      </x:c>
      <x:c r="B8" s="82" t="str">
        <x:v>lower35</x:v>
      </x:c>
      <x:c r="C8" s="82" t="str">
        <x:v>下位35%</x:v>
      </x:c>
      <x:c r="D8" s="85" t="n">
        <x:v>-0.002</x:v>
      </x:c>
      <x:c r="E8" s="85" t="n">
        <x:v>0.003</x:v>
      </x:c>
      <x:c r="F8" s="62" t="str">
        <x:v>給与成長ベース × 職業別容姿倍率</x:v>
      </x:c>
      <x:c r="G8" s="62" t="str">
        <x:v>低評価ほど資産運用へ寄せる仮定</x:v>
      </x:c>
      <x:c r="H8" s="63" t="str">
        <x:v>app/model.ts</x:v>
      </x:c>
    </x:row>
    <x:row r="9" ht="38" customHeight="1">
      <x:c r="A9" s="45" t="n">
        <x:v>5</x:v>
      </x:c>
      <x:c r="B9" s="83" t="str">
        <x:v>lower10</x:v>
      </x:c>
      <x:c r="C9" s="83" t="str">
        <x:v>下位10%</x:v>
      </x:c>
      <x:c r="D9" s="98" t="n">
        <x:v>-0.004</x:v>
      </x:c>
      <x:c r="E9" s="98" t="n">
        <x:v>0.005</x:v>
      </x:c>
      <x:c r="F9" s="64" t="str">
        <x:v>給与成長ベース × 職業別容姿倍率</x:v>
      </x:c>
      <x:c r="G9" s="64" t="str">
        <x:v>低評価ほど資産運用へ寄せる仮定</x:v>
      </x:c>
      <x:c r="H9" s="65" t="str">
        <x:v>app/model.ts</x:v>
      </x:c>
    </x:row>
  </x:sheetData>
  <x:mergeCells>
    <x:mergeCell ref="A1:H1"/>
    <x:mergeCell ref="A2:H2"/>
  </x:mergeCells>
  <x:pageMargins left="0.7" right="0.7" top="0.75" bottom="0.75" header="0.3" footer="0.3"/>
  <x:tableParts count="1">
    <x:tablePart xmlns:r="http://schemas.openxmlformats.org/officeDocument/2006/relationships" r:id="R03ce4d73f65b47b6"/>
  </x:tableParts>
</x:worksheet>
</file>

<file path=xl/worksheets/sheet5.xml><?xml version="1.0" encoding="utf-8"?>
<x:worksheet xmlns:x="http://schemas.openxmlformats.org/spreadsheetml/2006/main">
  <x:sheetFormatPr defaultRowHeight="15"/>
  <x:cols>
    <x:col min="1" max="1" width="7" hidden="0" customWidth="1"/>
    <x:col min="2" max="2" width="25" hidden="0" customWidth="1"/>
    <x:col min="3" max="3" width="16" hidden="0" customWidth="1"/>
    <x:col min="4" max="4" width="24" hidden="0" customWidth="1"/>
    <x:col min="5" max="5" width="39" hidden="0" customWidth="1"/>
    <x:col min="6" max="6" width="12" hidden="0" customWidth="1"/>
    <x:col min="7" max="7" width="12" hidden="0" customWidth="1"/>
    <x:col min="8" max="8" width="12" hidden="0" customWidth="1"/>
    <x:col min="9" max="9" width="14" hidden="0" customWidth="1"/>
    <x:col min="10" max="10" width="18" hidden="0" customWidth="1"/>
    <x:col min="11" max="11" width="15" hidden="0" customWidth="1"/>
    <x:col min="12" max="12" width="12" hidden="0" customWidth="1"/>
    <x:col min="13" max="13" width="18" hidden="0" customWidth="1"/>
    <x:col min="14" max="14" width="15" hidden="0" customWidth="1"/>
    <x:col min="15" max="15" width="14" hidden="0" customWidth="1"/>
    <x:col min="16" max="16" width="15" hidden="0" customWidth="1"/>
    <x:col min="17" max="17" width="13" hidden="0" customWidth="1"/>
    <x:col min="18" max="18" width="13" hidden="0" customWidth="1"/>
    <x:col min="19" max="19" width="13" hidden="0" customWidth="1"/>
    <x:col min="20" max="20" width="13" hidden="0" customWidth="1"/>
    <x:col min="21" max="21" width="15" hidden="0" customWidth="1"/>
    <x:col min="22" max="22" width="15" hidden="0" customWidth="1"/>
    <x:col min="23" max="23" width="15" hidden="0" customWidth="1"/>
    <x:col min="24" max="24" width="15" hidden="0" customWidth="1"/>
    <x:col min="25" max="25" width="47" hidden="0" customWidth="1"/>
  </x:cols>
  <x:sheetData>
    <x:row r="1" ht="34" customHeight="1">
      <x:c r="A1" s="3" t="str">
        <x:v>職業パラメータ</x:v>
      </x:c>
      <x:c r="B1" s="3"/>
      <x:c r="C1" s="3"/>
      <x:c r="D1" s="3"/>
      <x:c r="E1" s="3"/>
      <x:c r="F1" s="3"/>
      <x:c r="G1" s="3"/>
      <x:c r="H1" s="3"/>
      <x:c r="I1" s="3"/>
      <x:c r="J1" s="3"/>
      <x:c r="K1" s="3"/>
      <x:c r="L1" s="3"/>
      <x:c r="M1" s="3"/>
      <x:c r="N1" s="3"/>
      <x:c r="O1" s="3"/>
      <x:c r="P1" s="3"/>
      <x:c r="Q1" s="3"/>
      <x:c r="R1" s="3"/>
      <x:c r="S1" s="3"/>
      <x:c r="T1" s="3"/>
      <x:c r="U1" s="3"/>
      <x:c r="V1" s="3"/>
      <x:c r="W1" s="3"/>
      <x:c r="X1" s="3"/>
      <x:c r="Y1" s="3"/>
    </x:row>
    <x:row r="2" ht="30" customHeight="1">
      <x:c r="A2" s="7" t="str">
        <x:v>60職業を横並び比較できます。rampUpはピーク前4区間、rampDownはピーク後5年単位の2区間。率は年率です。</x:v>
      </x:c>
      <x:c r="B2" s="7"/>
      <x:c r="C2" s="7"/>
      <x:c r="D2" s="7"/>
      <x:c r="E2" s="7"/>
      <x:c r="F2" s="7"/>
      <x:c r="G2" s="7"/>
      <x:c r="H2" s="7"/>
      <x:c r="I2" s="7"/>
      <x:c r="J2" s="7"/>
      <x:c r="K2" s="7"/>
      <x:c r="L2" s="7"/>
      <x:c r="M2" s="7"/>
      <x:c r="N2" s="7"/>
      <x:c r="O2" s="7"/>
      <x:c r="P2" s="7"/>
      <x:c r="Q2" s="7"/>
      <x:c r="R2" s="7"/>
      <x:c r="S2" s="7"/>
      <x:c r="T2" s="7"/>
      <x:c r="U2" s="7"/>
      <x:c r="V2" s="7"/>
      <x:c r="W2" s="7"/>
      <x:c r="X2" s="7"/>
      <x:c r="Y2" s="7"/>
    </x:row>
    <x:row r="4" ht="34" customHeight="1">
      <x:c r="A4" s="18" t="str">
        <x:v>No.</x:v>
      </x:c>
      <x:c r="B4" s="19" t="str">
        <x:v>職種</x:v>
      </x:c>
      <x:c r="C4" s="19" t="str">
        <x:v>職種key</x:v>
      </x:c>
      <x:c r="D4" s="19" t="str">
        <x:v>職業key</x:v>
      </x:c>
      <x:c r="E4" s="19" t="str">
        <x:v>表示名</x:v>
      </x:c>
      <x:c r="F4" s="19" t="str">
        <x:v>引退年齢</x:v>
      </x:c>
      <x:c r="G4" s="19" t="str">
        <x:v>主職終了</x:v>
      </x:c>
      <x:c r="H4" s="19" t="str">
        <x:v>ピーク年齢</x:v>
      </x:c>
      <x:c r="I4" s="19" t="str">
        <x:v>基準年収</x:v>
      </x:c>
      <x:c r="J4" s="19" t="str">
        <x:v>30歳時基準年収</x:v>
      </x:c>
      <x:c r="K4" s="19" t="str">
        <x:v>基本利回り</x:v>
      </x:c>
      <x:c r="L4" s="19" t="str">
        <x:v>容姿倍率</x:v>
      </x:c>
      <x:c r="M4" s="19" t="str">
        <x:v>上位10%給与補正</x:v>
      </x:c>
      <x:c r="N4" s="19" t="str">
        <x:v>careerRisk</x:v>
      </x:c>
      <x:c r="O4" s="19" t="str">
        <x:v>転職後率</x:v>
      </x:c>
      <x:c r="P4" s="19" t="str">
        <x:v>リスク表示</x:v>
      </x:c>
      <x:c r="Q4" s="19" t="str">
        <x:v>rampUp 1</x:v>
      </x:c>
      <x:c r="R4" s="19" t="str">
        <x:v>rampUp 2</x:v>
      </x:c>
      <x:c r="S4" s="19" t="str">
        <x:v>rampUp 3</x:v>
      </x:c>
      <x:c r="T4" s="19" t="str">
        <x:v>rampUp 4</x:v>
      </x:c>
      <x:c r="U4" s="19" t="str">
        <x:v>rampDown 1</x:v>
      </x:c>
      <x:c r="V4" s="19" t="str">
        <x:v>rampDown 2</x:v>
      </x:c>
      <x:c r="W4" s="19" t="str">
        <x:v>特別成長年数</x:v>
      </x:c>
      <x:c r="X4" s="19" t="str">
        <x:v>特別成長率</x:v>
      </x:c>
      <x:c r="Y4" s="20" t="str">
        <x:v>特記事項</x:v>
      </x:c>
    </x:row>
    <x:row r="5" ht="36" customHeight="1">
      <x:c r="A5" s="93" t="n">
        <x:v>1</x:v>
      </x:c>
      <x:c r="B5" s="81" t="str">
        <x:v>金融・コンサル</x:v>
      </x:c>
      <x:c r="C5" s="81" t="str">
        <x:v>finance</x:v>
      </x:c>
      <x:c r="D5" s="81" t="str">
        <x:v>fund</x:v>
      </x:c>
      <x:c r="E5" s="81" t="str">
        <x:v>ヘッジファンド・PE</x:v>
      </x:c>
      <x:c r="F5" s="96" t="n">
        <x:v>65</x:v>
      </x:c>
      <x:c r="G5" s="96" t="n">
        <x:v>60</x:v>
      </x:c>
      <x:c r="H5" s="96" t="n">
        <x:v>45</x:v>
      </x:c>
      <x:c r="I5" s="96" t="n">
        <x:v>1200</x:v>
      </x:c>
      <x:c r="J5" s="108" t="n">
        <x:f>IF(D5="homemaker",I5,IF(I5=0,0,ROUND(I5*IF(30&lt;H5,MAX('共通設定'!$D$15,1-ABS(30-H5)*'共通設定'!$D$16),MAX('共通設定'!$D$17,1-(30-H5)*'共通設定'!$D$18)),0)))</x:f>
        <x:v>840</x:v>
      </x:c>
      <x:c r="K5" s="84" t="n">
        <x:v>0.04</x:v>
      </x:c>
      <x:c r="L5" s="111" t="n">
        <x:v>0.3</x:v>
      </x:c>
      <x:c r="M5" s="90" t="n">
        <x:f>L5*'容姿'!$D$5</x:f>
        <x:v>0.0018</x:v>
      </x:c>
      <x:c r="N5" s="84" t="n">
        <x:v>0.03</x:v>
      </x:c>
      <x:c r="O5" s="84" t="n">
        <x:v>0.7</x:v>
      </x:c>
      <x:c r="P5" s="81" t="str">
        <x:v>HIGH</x:v>
      </x:c>
      <x:c r="Q5" s="84" t="n">
        <x:v>0.36</x:v>
      </x:c>
      <x:c r="R5" s="84" t="n">
        <x:v>0.24</x:v>
      </x:c>
      <x:c r="S5" s="84" t="n">
        <x:v>0.12</x:v>
      </x:c>
      <x:c r="T5" s="84" t="n">
        <x:v>0.03</x:v>
      </x:c>
      <x:c r="U5" s="84" t="n">
        <x:v>-0.1</x:v>
      </x:c>
      <x:c r="V5" s="84" t="n">
        <x:v>-0.18</x:v>
      </x:c>
      <x:c r="W5" s="96" t="str"/>
      <x:c r="X5" s="84" t="str"/>
      <x:c r="Y5" s="61" t="str">
        <x:v>報酬カーブ極端：成果報酬で急伸</x:v>
      </x:c>
    </x:row>
    <x:row r="6" ht="36" customHeight="1">
      <x:c r="A6" s="94" t="n">
        <x:v>2</x:v>
      </x:c>
      <x:c r="B6" s="82" t="str">
        <x:v>金融・コンサル</x:v>
      </x:c>
      <x:c r="C6" s="82" t="str">
        <x:v>finance</x:v>
      </x:c>
      <x:c r="D6" s="82" t="str">
        <x:v>investmentBank</x:v>
      </x:c>
      <x:c r="E6" s="82" t="str">
        <x:v>投資銀行・マーケット・トレーダー</x:v>
      </x:c>
      <x:c r="F6" s="86" t="n">
        <x:v>65</x:v>
      </x:c>
      <x:c r="G6" s="86" t="n">
        <x:v>60</x:v>
      </x:c>
      <x:c r="H6" s="86" t="n">
        <x:v>43</x:v>
      </x:c>
      <x:c r="I6" s="86" t="n">
        <x:v>1000</x:v>
      </x:c>
      <x:c r="J6" s="109" t="n">
        <x:f>IF(D6="homemaker",I6,IF(I6=0,0,ROUND(I6*IF(30&lt;H6,MAX('共通設定'!$D$15,1-ABS(30-H6)*'共通設定'!$D$16),MAX('共通設定'!$D$17,1-(30-H6)*'共通設定'!$D$18)),0)))</x:f>
        <x:v>740</x:v>
      </x:c>
      <x:c r="K6" s="85" t="n">
        <x:v>0.038</x:v>
      </x:c>
      <x:c r="L6" s="112" t="n">
        <x:v>0.5</x:v>
      </x:c>
      <x:c r="M6" s="91" t="n">
        <x:f>L6*'容姿'!$D$5</x:f>
        <x:v>0.003</x:v>
      </x:c>
      <x:c r="N6" s="85" t="n">
        <x:v>0.025</x:v>
      </x:c>
      <x:c r="O6" s="85" t="n">
        <x:v>0.7</x:v>
      </x:c>
      <x:c r="P6" s="82" t="str">
        <x:v>HIGH</x:v>
      </x:c>
      <x:c r="Q6" s="85" t="n">
        <x:v>0.1</x:v>
      </x:c>
      <x:c r="R6" s="85" t="n">
        <x:v>0.065</x:v>
      </x:c>
      <x:c r="S6" s="85" t="n">
        <x:v>0.025</x:v>
      </x:c>
      <x:c r="T6" s="85" t="n">
        <x:v>-0.01</x:v>
      </x:c>
      <x:c r="U6" s="85" t="n">
        <x:v>-0.04</x:v>
      </x:c>
      <x:c r="V6" s="85" t="n">
        <x:v>-0.07</x:v>
      </x:c>
      <x:c r="W6" s="86" t="str"/>
      <x:c r="X6" s="85" t="str"/>
      <x:c r="Y6" s="63" t="str"/>
    </x:row>
    <x:row r="7" ht="36" customHeight="1">
      <x:c r="A7" s="94" t="n">
        <x:v>3</x:v>
      </x:c>
      <x:c r="B7" s="82" t="str">
        <x:v>金融・コンサル</x:v>
      </x:c>
      <x:c r="C7" s="82" t="str">
        <x:v>finance</x:v>
      </x:c>
      <x:c r="D7" s="82" t="str">
        <x:v>bankFinance</x:v>
      </x:c>
      <x:c r="E7" s="82" t="str">
        <x:v>銀行・証券・保険</x:v>
      </x:c>
      <x:c r="F7" s="86" t="n">
        <x:v>65</x:v>
      </x:c>
      <x:c r="G7" s="86" t="n">
        <x:v>65</x:v>
      </x:c>
      <x:c r="H7" s="86" t="n">
        <x:v>52</x:v>
      </x:c>
      <x:c r="I7" s="86" t="n">
        <x:v>450</x:v>
      </x:c>
      <x:c r="J7" s="109" t="n">
        <x:f>IF(D7="homemaker",I7,IF(I7=0,0,ROUND(I7*IF(30&lt;H7,MAX('共通設定'!$D$15,1-ABS(30-H7)*'共通設定'!$D$16),MAX('共通設定'!$D$17,1-(30-H7)*'共通設定'!$D$18)),0)))</x:f>
        <x:v>293</x:v>
      </x:c>
      <x:c r="K7" s="85" t="n">
        <x:v>0.032</x:v>
      </x:c>
      <x:c r="L7" s="112" t="n">
        <x:v>0.5</x:v>
      </x:c>
      <x:c r="M7" s="91" t="n">
        <x:f>L7*'容姿'!$D$5</x:f>
        <x:v>0.003</x:v>
      </x:c>
      <x:c r="N7" s="85" t="n">
        <x:v>0.01</x:v>
      </x:c>
      <x:c r="O7" s="85" t="n">
        <x:v>0.75</x:v>
      </x:c>
      <x:c r="P7" s="82" t="str">
        <x:v>LOW</x:v>
      </x:c>
      <x:c r="Q7" s="85" t="n">
        <x:v>0.065</x:v>
      </x:c>
      <x:c r="R7" s="85" t="n">
        <x:v>0.04</x:v>
      </x:c>
      <x:c r="S7" s="85" t="n">
        <x:v>0.015</x:v>
      </x:c>
      <x:c r="T7" s="85" t="n">
        <x:v>-0.005</x:v>
      </x:c>
      <x:c r="U7" s="85" t="n">
        <x:v>-0.03</x:v>
      </x:c>
      <x:c r="V7" s="85" t="n">
        <x:v>-0.055</x:v>
      </x:c>
      <x:c r="W7" s="86" t="str"/>
      <x:c r="X7" s="85" t="str"/>
      <x:c r="Y7" s="63" t="str"/>
    </x:row>
    <x:row r="8" ht="36" customHeight="1">
      <x:c r="A8" s="94" t="n">
        <x:v>4</x:v>
      </x:c>
      <x:c r="B8" s="82" t="str">
        <x:v>金融・コンサル</x:v>
      </x:c>
      <x:c r="C8" s="82" t="str">
        <x:v>finance</x:v>
      </x:c>
      <x:c r="D8" s="82" t="str">
        <x:v>consultant</x:v>
      </x:c>
      <x:c r="E8" s="82" t="str">
        <x:v>戦略・総合・ITコンサルタント</x:v>
      </x:c>
      <x:c r="F8" s="86" t="n">
        <x:v>67</x:v>
      </x:c>
      <x:c r="G8" s="86" t="n">
        <x:v>65</x:v>
      </x:c>
      <x:c r="H8" s="86" t="n">
        <x:v>47</x:v>
      </x:c>
      <x:c r="I8" s="86" t="n">
        <x:v>600</x:v>
      </x:c>
      <x:c r="J8" s="109" t="n">
        <x:f>IF(D8="homemaker",I8,IF(I8=0,0,ROUND(I8*IF(30&lt;H8,MAX('共通設定'!$D$15,1-ABS(30-H8)*'共通設定'!$D$16),MAX('共通設定'!$D$17,1-(30-H8)*'共通設定'!$D$18)),0)))</x:f>
        <x:v>396</x:v>
      </x:c>
      <x:c r="K8" s="85" t="n">
        <x:v>0.033</x:v>
      </x:c>
      <x:c r="L8" s="112" t="n">
        <x:v>0.9</x:v>
      </x:c>
      <x:c r="M8" s="91" t="n">
        <x:f>L8*'容姿'!$D$5</x:f>
        <x:v>0.0054</x:v>
      </x:c>
      <x:c r="N8" s="85" t="n">
        <x:v>0.02</x:v>
      </x:c>
      <x:c r="O8" s="85" t="n">
        <x:v>0.7</x:v>
      </x:c>
      <x:c r="P8" s="82" t="str">
        <x:v>MID</x:v>
      </x:c>
      <x:c r="Q8" s="85" t="n">
        <x:v>0.1</x:v>
      </x:c>
      <x:c r="R8" s="85" t="n">
        <x:v>0.065</x:v>
      </x:c>
      <x:c r="S8" s="85" t="n">
        <x:v>0.025</x:v>
      </x:c>
      <x:c r="T8" s="85" t="n">
        <x:v>-0.01</x:v>
      </x:c>
      <x:c r="U8" s="85" t="n">
        <x:v>-0.04</x:v>
      </x:c>
      <x:c r="V8" s="85" t="n">
        <x:v>-0.07</x:v>
      </x:c>
      <x:c r="W8" s="86" t="str"/>
      <x:c r="X8" s="85" t="str"/>
      <x:c r="Y8" s="63" t="str"/>
    </x:row>
    <x:row r="9" ht="36" customHeight="1">
      <x:c r="A9" s="94" t="n">
        <x:v>5</x:v>
      </x:c>
      <x:c r="B9" s="82" t="str">
        <x:v>金融・コンサル</x:v>
      </x:c>
      <x:c r="C9" s="82" t="str">
        <x:v>finance</x:v>
      </x:c>
      <x:c r="D9" s="82" t="str">
        <x:v>fullTimeTrader</x:v>
      </x:c>
      <x:c r="E9" s="82" t="str">
        <x:v>専業トレーダー・仮想通貨</x:v>
      </x:c>
      <x:c r="F9" s="86" t="n">
        <x:v>65</x:v>
      </x:c>
      <x:c r="G9" s="86" t="n">
        <x:v>55</x:v>
      </x:c>
      <x:c r="H9" s="86" t="n">
        <x:v>38</x:v>
      </x:c>
      <x:c r="I9" s="86" t="n">
        <x:v>400</x:v>
      </x:c>
      <x:c r="J9" s="109" t="n">
        <x:f>IF(D9="homemaker",I9,IF(I9=0,0,ROUND(I9*IF(30&lt;H9,MAX('共通設定'!$D$15,1-ABS(30-H9)*'共通設定'!$D$16),MAX('共通設定'!$D$17,1-(30-H9)*'共通設定'!$D$18)),0)))</x:f>
        <x:v>336</x:v>
      </x:c>
      <x:c r="K9" s="85" t="n">
        <x:v>0.05</x:v>
      </x:c>
      <x:c r="L9" s="112" t="n">
        <x:v>0.1</x:v>
      </x:c>
      <x:c r="M9" s="91" t="n">
        <x:f>L9*'容姿'!$D$5</x:f>
        <x:v>0.0006000000000000001</x:v>
      </x:c>
      <x:c r="N9" s="85" t="n">
        <x:v>0.1</x:v>
      </x:c>
      <x:c r="O9" s="85" t="n">
        <x:v>0.35</x:v>
      </x:c>
      <x:c r="P9" s="82" t="str">
        <x:v>EXTREME</x:v>
      </x:c>
      <x:c r="Q9" s="85" t="n">
        <x:v>0.12</x:v>
      </x:c>
      <x:c r="R9" s="85" t="n">
        <x:v>0.065</x:v>
      </x:c>
      <x:c r="S9" s="85" t="n">
        <x:v>-0.02</x:v>
      </x:c>
      <x:c r="T9" s="85" t="n">
        <x:v>-0.08</x:v>
      </x:c>
      <x:c r="U9" s="85" t="n">
        <x:v>-0.12</x:v>
      </x:c>
      <x:c r="V9" s="85" t="n">
        <x:v>-0.2</x:v>
      </x:c>
      <x:c r="W9" s="86" t="str"/>
      <x:c r="X9" s="85" t="str"/>
      <x:c r="Y9" s="63" t="str">
        <x:v>高ボラティリティ：上振れも下振れも最大級</x:v>
      </x:c>
    </x:row>
    <x:row r="10" ht="36" customHeight="1">
      <x:c r="A10" s="94" t="n">
        <x:v>6</x:v>
      </x:c>
      <x:c r="B10" s="82" t="str">
        <x:v>医療・士業</x:v>
      </x:c>
      <x:c r="C10" s="82" t="str">
        <x:v>professional</x:v>
      </x:c>
      <x:c r="D10" s="82" t="str">
        <x:v>doctor</x:v>
      </x:c>
      <x:c r="E10" s="82" t="str">
        <x:v>医師</x:v>
      </x:c>
      <x:c r="F10" s="86" t="n">
        <x:v>70</x:v>
      </x:c>
      <x:c r="G10" s="86" t="n">
        <x:v>70</x:v>
      </x:c>
      <x:c r="H10" s="86" t="n">
        <x:v>55</x:v>
      </x:c>
      <x:c r="I10" s="86" t="n">
        <x:v>900</x:v>
      </x:c>
      <x:c r="J10" s="109" t="n">
        <x:f>IF(D10="homemaker",I10,IF(I10=0,0,ROUND(I10*IF(30&lt;H10,MAX('共通設定'!$D$15,1-ABS(30-H10)*'共通設定'!$D$16),MAX('共通設定'!$D$17,1-(30-H10)*'共通設定'!$D$18)),0)))</x:f>
        <x:v>585</x:v>
      </x:c>
      <x:c r="K10" s="85" t="n">
        <x:v>0.025</x:v>
      </x:c>
      <x:c r="L10" s="112" t="n">
        <x:v>0.3</x:v>
      </x:c>
      <x:c r="M10" s="91" t="n">
        <x:f>L10*'容姿'!$D$5</x:f>
        <x:v>0.0018</x:v>
      </x:c>
      <x:c r="N10" s="85" t="n">
        <x:v>0.004</x:v>
      </x:c>
      <x:c r="O10" s="85" t="n">
        <x:v>0.8</x:v>
      </x:c>
      <x:c r="P10" s="82" t="str">
        <x:v>LOW</x:v>
      </x:c>
      <x:c r="Q10" s="85" t="n">
        <x:v>0.065</x:v>
      </x:c>
      <x:c r="R10" s="85" t="n">
        <x:v>0.045</x:v>
      </x:c>
      <x:c r="S10" s="85" t="n">
        <x:v>0.015</x:v>
      </x:c>
      <x:c r="T10" s="85" t="n">
        <x:v>-0.01</x:v>
      </x:c>
      <x:c r="U10" s="85" t="n">
        <x:v>-0.035</x:v>
      </x:c>
      <x:c r="V10" s="85" t="n">
        <x:v>-0.06</x:v>
      </x:c>
      <x:c r="W10" s="86" t="str"/>
      <x:c r="X10" s="85" t="str"/>
      <x:c r="Y10" s="63" t="str"/>
    </x:row>
    <x:row r="11" ht="36" customHeight="1">
      <x:c r="A11" s="94" t="n">
        <x:v>7</x:v>
      </x:c>
      <x:c r="B11" s="82" t="str">
        <x:v>医療・士業</x:v>
      </x:c>
      <x:c r="C11" s="82" t="str">
        <x:v>professional</x:v>
      </x:c>
      <x:c r="D11" s="82" t="str">
        <x:v>dentist</x:v>
      </x:c>
      <x:c r="E11" s="82" t="str">
        <x:v>歯科医師</x:v>
      </x:c>
      <x:c r="F11" s="86" t="n">
        <x:v>70</x:v>
      </x:c>
      <x:c r="G11" s="86" t="n">
        <x:v>70</x:v>
      </x:c>
      <x:c r="H11" s="86" t="n">
        <x:v>50</x:v>
      </x:c>
      <x:c r="I11" s="86" t="n">
        <x:v>500</x:v>
      </x:c>
      <x:c r="J11" s="109" t="n">
        <x:f>IF(D11="homemaker",I11,IF(I11=0,0,ROUND(I11*IF(30&lt;H11,MAX('共通設定'!$D$15,1-ABS(30-H11)*'共通設定'!$D$16),MAX('共通設定'!$D$17,1-(30-H11)*'共通設定'!$D$18)),0)))</x:f>
        <x:v>325</x:v>
      </x:c>
      <x:c r="K11" s="85" t="n">
        <x:v>0.025</x:v>
      </x:c>
      <x:c r="L11" s="112" t="n">
        <x:v>0.5</x:v>
      </x:c>
      <x:c r="M11" s="91" t="n">
        <x:f>L11*'容姿'!$D$5</x:f>
        <x:v>0.003</x:v>
      </x:c>
      <x:c r="N11" s="85" t="n">
        <x:v>0.015</x:v>
      </x:c>
      <x:c r="O11" s="85" t="n">
        <x:v>0.7</x:v>
      </x:c>
      <x:c r="P11" s="82" t="str">
        <x:v>MID-LOW</x:v>
      </x:c>
      <x:c r="Q11" s="85" t="n">
        <x:v>0.075</x:v>
      </x:c>
      <x:c r="R11" s="85" t="n">
        <x:v>0.05</x:v>
      </x:c>
      <x:c r="S11" s="85" t="n">
        <x:v>0.015</x:v>
      </x:c>
      <x:c r="T11" s="85" t="n">
        <x:v>-0.015</x:v>
      </x:c>
      <x:c r="U11" s="85" t="n">
        <x:v>-0.05</x:v>
      </x:c>
      <x:c r="V11" s="85" t="n">
        <x:v>-0.08</x:v>
      </x:c>
      <x:c r="W11" s="86" t="str"/>
      <x:c r="X11" s="85" t="str"/>
      <x:c r="Y11" s="63" t="str"/>
    </x:row>
    <x:row r="12" ht="36" customHeight="1">
      <x:c r="A12" s="94" t="n">
        <x:v>8</x:v>
      </x:c>
      <x:c r="B12" s="82" t="str">
        <x:v>医療・士業</x:v>
      </x:c>
      <x:c r="C12" s="82" t="str">
        <x:v>professional</x:v>
      </x:c>
      <x:c r="D12" s="82" t="str">
        <x:v>lawyer</x:v>
      </x:c>
      <x:c r="E12" s="82" t="str">
        <x:v>弁護士</x:v>
      </x:c>
      <x:c r="F12" s="86" t="n">
        <x:v>70</x:v>
      </x:c>
      <x:c r="G12" s="86" t="n">
        <x:v>70</x:v>
      </x:c>
      <x:c r="H12" s="86" t="n">
        <x:v>52</x:v>
      </x:c>
      <x:c r="I12" s="86" t="n">
        <x:v>500</x:v>
      </x:c>
      <x:c r="J12" s="109" t="n">
        <x:f>IF(D12="homemaker",I12,IF(I12=0,0,ROUND(I12*IF(30&lt;H12,MAX('共通設定'!$D$15,1-ABS(30-H12)*'共通設定'!$D$16),MAX('共通設定'!$D$17,1-(30-H12)*'共通設定'!$D$18)),0)))</x:f>
        <x:v>325</x:v>
      </x:c>
      <x:c r="K12" s="85" t="n">
        <x:v>0.028</x:v>
      </x:c>
      <x:c r="L12" s="112" t="n">
        <x:v>0.6</x:v>
      </x:c>
      <x:c r="M12" s="91" t="n">
        <x:f>L12*'容姿'!$D$5</x:f>
        <x:v>0.0036</x:v>
      </x:c>
      <x:c r="N12" s="85" t="n">
        <x:v>0.015</x:v>
      </x:c>
      <x:c r="O12" s="85" t="n">
        <x:v>0.7</x:v>
      </x:c>
      <x:c r="P12" s="82" t="str">
        <x:v>MID-LOW</x:v>
      </x:c>
      <x:c r="Q12" s="85" t="n">
        <x:v>0.065</x:v>
      </x:c>
      <x:c r="R12" s="85" t="n">
        <x:v>0.045</x:v>
      </x:c>
      <x:c r="S12" s="85" t="n">
        <x:v>0.015</x:v>
      </x:c>
      <x:c r="T12" s="85" t="n">
        <x:v>-0.01</x:v>
      </x:c>
      <x:c r="U12" s="85" t="n">
        <x:v>-0.035</x:v>
      </x:c>
      <x:c r="V12" s="85" t="n">
        <x:v>-0.06</x:v>
      </x:c>
      <x:c r="W12" s="86" t="str"/>
      <x:c r="X12" s="85" t="str"/>
      <x:c r="Y12" s="63" t="str"/>
    </x:row>
    <x:row r="13" ht="36" customHeight="1">
      <x:c r="A13" s="94" t="n">
        <x:v>9</x:v>
      </x:c>
      <x:c r="B13" s="82" t="str">
        <x:v>医療・士業</x:v>
      </x:c>
      <x:c r="C13" s="82" t="str">
        <x:v>professional</x:v>
      </x:c>
      <x:c r="D13" s="82" t="str">
        <x:v>accountant</x:v>
      </x:c>
      <x:c r="E13" s="82" t="str">
        <x:v>会計士・税理士</x:v>
      </x:c>
      <x:c r="F13" s="86" t="n">
        <x:v>70</x:v>
      </x:c>
      <x:c r="G13" s="86" t="n">
        <x:v>70</x:v>
      </x:c>
      <x:c r="H13" s="86" t="n">
        <x:v>55</x:v>
      </x:c>
      <x:c r="I13" s="86" t="n">
        <x:v>450</x:v>
      </x:c>
      <x:c r="J13" s="109" t="n">
        <x:f>IF(D13="homemaker",I13,IF(I13=0,0,ROUND(I13*IF(30&lt;H13,MAX('共通設定'!$D$15,1-ABS(30-H13)*'共通設定'!$D$16),MAX('共通設定'!$D$17,1-(30-H13)*'共通設定'!$D$18)),0)))</x:f>
        <x:v>293</x:v>
      </x:c>
      <x:c r="K13" s="85" t="n">
        <x:v>0.028</x:v>
      </x:c>
      <x:c r="L13" s="112" t="n">
        <x:v>0.4</x:v>
      </x:c>
      <x:c r="M13" s="91" t="n">
        <x:f>L13*'容姿'!$D$5</x:f>
        <x:v>0.0024000000000000002</x:v>
      </x:c>
      <x:c r="N13" s="85" t="n">
        <x:v>0.01</x:v>
      </x:c>
      <x:c r="O13" s="85" t="n">
        <x:v>0.75</x:v>
      </x:c>
      <x:c r="P13" s="82" t="str">
        <x:v>LOW</x:v>
      </x:c>
      <x:c r="Q13" s="85" t="n">
        <x:v>0.065</x:v>
      </x:c>
      <x:c r="R13" s="85" t="n">
        <x:v>0.045</x:v>
      </x:c>
      <x:c r="S13" s="85" t="n">
        <x:v>0.015</x:v>
      </x:c>
      <x:c r="T13" s="85" t="n">
        <x:v>-0.01</x:v>
      </x:c>
      <x:c r="U13" s="85" t="n">
        <x:v>-0.035</x:v>
      </x:c>
      <x:c r="V13" s="85" t="n">
        <x:v>-0.06</x:v>
      </x:c>
      <x:c r="W13" s="86" t="str"/>
      <x:c r="X13" s="85" t="str"/>
      <x:c r="Y13" s="63" t="str"/>
    </x:row>
    <x:row r="14" ht="36" customHeight="1">
      <x:c r="A14" s="94" t="n">
        <x:v>10</x:v>
      </x:c>
      <x:c r="B14" s="82" t="str">
        <x:v>医療・士業</x:v>
      </x:c>
      <x:c r="C14" s="82" t="str">
        <x:v>professional</x:v>
      </x:c>
      <x:c r="D14" s="82" t="str">
        <x:v>nurse</x:v>
      </x:c>
      <x:c r="E14" s="82" t="str">
        <x:v>看護師</x:v>
      </x:c>
      <x:c r="F14" s="86" t="n">
        <x:v>67</x:v>
      </x:c>
      <x:c r="G14" s="86" t="n">
        <x:v>65</x:v>
      </x:c>
      <x:c r="H14" s="86" t="n">
        <x:v>50</x:v>
      </x:c>
      <x:c r="I14" s="86" t="n">
        <x:v>400</x:v>
      </x:c>
      <x:c r="J14" s="109" t="n">
        <x:f>IF(D14="homemaker",I14,IF(I14=0,0,ROUND(I14*IF(30&lt;H14,MAX('共通設定'!$D$15,1-ABS(30-H14)*'共通設定'!$D$16),MAX('共通設定'!$D$17,1-(30-H14)*'共通設定'!$D$18)),0)))</x:f>
        <x:v>260</x:v>
      </x:c>
      <x:c r="K14" s="85" t="n">
        <x:v>0.024</x:v>
      </x:c>
      <x:c r="L14" s="112" t="n">
        <x:v>0.4</x:v>
      </x:c>
      <x:c r="M14" s="91" t="n">
        <x:f>L14*'容姿'!$D$5</x:f>
        <x:v>0.0024000000000000002</x:v>
      </x:c>
      <x:c r="N14" s="85" t="n">
        <x:v>0.012</x:v>
      </x:c>
      <x:c r="O14" s="85" t="n">
        <x:v>0.75</x:v>
      </x:c>
      <x:c r="P14" s="82" t="str">
        <x:v>MID-LOW</x:v>
      </x:c>
      <x:c r="Q14" s="85" t="n">
        <x:v>0.045</x:v>
      </x:c>
      <x:c r="R14" s="85" t="n">
        <x:v>0.03</x:v>
      </x:c>
      <x:c r="S14" s="85" t="n">
        <x:v>0.01</x:v>
      </x:c>
      <x:c r="T14" s="85" t="n">
        <x:v>-0.005</x:v>
      </x:c>
      <x:c r="U14" s="85" t="n">
        <x:v>-0.03</x:v>
      </x:c>
      <x:c r="V14" s="85" t="n">
        <x:v>-0.05</x:v>
      </x:c>
      <x:c r="W14" s="86" t="str"/>
      <x:c r="X14" s="85" t="str"/>
      <x:c r="Y14" s="63" t="str">
        <x:v>夜勤手当と高い職業可搬性を反映</x:v>
      </x:c>
    </x:row>
    <x:row r="15" ht="36" customHeight="1">
      <x:c r="A15" s="94" t="n">
        <x:v>11</x:v>
      </x:c>
      <x:c r="B15" s="82" t="str">
        <x:v>医療・士業</x:v>
      </x:c>
      <x:c r="C15" s="82" t="str">
        <x:v>professional</x:v>
      </x:c>
      <x:c r="D15" s="82" t="str">
        <x:v>medicalSpecialist</x:v>
      </x:c>
      <x:c r="E15" s="82" t="str">
        <x:v>薬剤師・医療専門職</x:v>
      </x:c>
      <x:c r="F15" s="86" t="n">
        <x:v>67</x:v>
      </x:c>
      <x:c r="G15" s="86" t="n">
        <x:v>65</x:v>
      </x:c>
      <x:c r="H15" s="86" t="n">
        <x:v>50</x:v>
      </x:c>
      <x:c r="I15" s="86" t="n">
        <x:v>380</x:v>
      </x:c>
      <x:c r="J15" s="109" t="n">
        <x:f>IF(D15="homemaker",I15,IF(I15=0,0,ROUND(I15*IF(30&lt;H15,MAX('共通設定'!$D$15,1-ABS(30-H15)*'共通設定'!$D$16),MAX('共通設定'!$D$17,1-(30-H15)*'共通設定'!$D$18)),0)))</x:f>
        <x:v>247</x:v>
      </x:c>
      <x:c r="K15" s="85" t="n">
        <x:v>0.023</x:v>
      </x:c>
      <x:c r="L15" s="112" t="n">
        <x:v>0.3</x:v>
      </x:c>
      <x:c r="M15" s="91" t="n">
        <x:f>L15*'容姿'!$D$5</x:f>
        <x:v>0.0018</x:v>
      </x:c>
      <x:c r="N15" s="85" t="n">
        <x:v>0.008</x:v>
      </x:c>
      <x:c r="O15" s="85" t="n">
        <x:v>0.75</x:v>
      </x:c>
      <x:c r="P15" s="82" t="str">
        <x:v>LOW</x:v>
      </x:c>
      <x:c r="Q15" s="85" t="n">
        <x:v>0.045</x:v>
      </x:c>
      <x:c r="R15" s="85" t="n">
        <x:v>0.03</x:v>
      </x:c>
      <x:c r="S15" s="85" t="n">
        <x:v>0.01</x:v>
      </x:c>
      <x:c r="T15" s="85" t="n">
        <x:v>-0.005</x:v>
      </x:c>
      <x:c r="U15" s="85" t="n">
        <x:v>-0.03</x:v>
      </x:c>
      <x:c r="V15" s="85" t="n">
        <x:v>-0.05</x:v>
      </x:c>
      <x:c r="W15" s="86" t="str"/>
      <x:c r="X15" s="85" t="str"/>
      <x:c r="Y15" s="63" t="str"/>
    </x:row>
    <x:row r="16" ht="36" customHeight="1">
      <x:c r="A16" s="94" t="n">
        <x:v>12</x:v>
      </x:c>
      <x:c r="B16" s="82" t="str">
        <x:v>IT・研究・クリエイティブ</x:v>
      </x:c>
      <x:c r="C16" s="82" t="str">
        <x:v>knowledge</x:v>
      </x:c>
      <x:c r="D16" s="82" t="str">
        <x:v>software</x:v>
      </x:c>
      <x:c r="E16" s="82" t="str">
        <x:v>ITエンジニア</x:v>
      </x:c>
      <x:c r="F16" s="86" t="n">
        <x:v>67</x:v>
      </x:c>
      <x:c r="G16" s="86" t="n">
        <x:v>65</x:v>
      </x:c>
      <x:c r="H16" s="86" t="n">
        <x:v>45</x:v>
      </x:c>
      <x:c r="I16" s="86" t="n">
        <x:v>450</x:v>
      </x:c>
      <x:c r="J16" s="109" t="n">
        <x:f>IF(D16="homemaker",I16,IF(I16=0,0,ROUND(I16*IF(30&lt;H16,MAX('共通設定'!$D$15,1-ABS(30-H16)*'共通設定'!$D$16),MAX('共通設定'!$D$17,1-(30-H16)*'共通設定'!$D$18)),0)))</x:f>
        <x:v>315</x:v>
      </x:c>
      <x:c r="K16" s="85" t="n">
        <x:v>0.032</x:v>
      </x:c>
      <x:c r="L16" s="112" t="n">
        <x:v>0.4</x:v>
      </x:c>
      <x:c r="M16" s="91" t="n">
        <x:f>L16*'容姿'!$D$5</x:f>
        <x:v>0.0024000000000000002</x:v>
      </x:c>
      <x:c r="N16" s="85" t="n">
        <x:v>0.015</x:v>
      </x:c>
      <x:c r="O16" s="85" t="n">
        <x:v>0.68</x:v>
      </x:c>
      <x:c r="P16" s="82" t="str">
        <x:v>MID-LOW</x:v>
      </x:c>
      <x:c r="Q16" s="85" t="n">
        <x:v>0.085</x:v>
      </x:c>
      <x:c r="R16" s="85" t="n">
        <x:v>0.055</x:v>
      </x:c>
      <x:c r="S16" s="85" t="n">
        <x:v>0.015</x:v>
      </x:c>
      <x:c r="T16" s="85" t="n">
        <x:v>-0.02</x:v>
      </x:c>
      <x:c r="U16" s="85" t="n">
        <x:v>-0.05</x:v>
      </x:c>
      <x:c r="V16" s="85" t="n">
        <x:v>-0.085</x:v>
      </x:c>
      <x:c r="W16" s="86" t="str"/>
      <x:c r="X16" s="85" t="str"/>
      <x:c r="Y16" s="63" t="str"/>
    </x:row>
    <x:row r="17" ht="36" customHeight="1">
      <x:c r="A17" s="94" t="n">
        <x:v>13</x:v>
      </x:c>
      <x:c r="B17" s="82" t="str">
        <x:v>IT・研究・クリエイティブ</x:v>
      </x:c>
      <x:c r="C17" s="82" t="str">
        <x:v>knowledge</x:v>
      </x:c>
      <x:c r="D17" s="82" t="str">
        <x:v>aiEngineer</x:v>
      </x:c>
      <x:c r="E17" s="82" t="str">
        <x:v>AIエンジニア</x:v>
      </x:c>
      <x:c r="F17" s="86" t="n">
        <x:v>67</x:v>
      </x:c>
      <x:c r="G17" s="86" t="n">
        <x:v>65</x:v>
      </x:c>
      <x:c r="H17" s="86" t="n">
        <x:v>45</x:v>
      </x:c>
      <x:c r="I17" s="86" t="n">
        <x:v>600</x:v>
      </x:c>
      <x:c r="J17" s="109" t="n">
        <x:f>IF(D17="homemaker",I17,IF(I17=0,0,ROUND(I17*IF(30&lt;H17,MAX('共通設定'!$D$15,1-ABS(30-H17)*'共通設定'!$D$16),MAX('共通設定'!$D$17,1-(30-H17)*'共通設定'!$D$18)),0)))</x:f>
        <x:v>420</x:v>
      </x:c>
      <x:c r="K17" s="85" t="n">
        <x:v>0.042</x:v>
      </x:c>
      <x:c r="L17" s="112" t="n">
        <x:v>0.3</x:v>
      </x:c>
      <x:c r="M17" s="91" t="n">
        <x:f>L17*'容姿'!$D$5</x:f>
        <x:v>0.0018</x:v>
      </x:c>
      <x:c r="N17" s="85" t="n">
        <x:v>0.018</x:v>
      </x:c>
      <x:c r="O17" s="85" t="n">
        <x:v>0.75</x:v>
      </x:c>
      <x:c r="P17" s="82" t="str">
        <x:v>MID</x:v>
      </x:c>
      <x:c r="Q17" s="85" t="n">
        <x:v>0.18</x:v>
      </x:c>
      <x:c r="R17" s="85" t="n">
        <x:v>0.12</x:v>
      </x:c>
      <x:c r="S17" s="85" t="n">
        <x:v>0.05</x:v>
      </x:c>
      <x:c r="T17" s="85" t="n">
        <x:v>-0.02</x:v>
      </x:c>
      <x:c r="U17" s="85" t="n">
        <x:v>-0.08</x:v>
      </x:c>
      <x:c r="V17" s="85" t="n">
        <x:v>-0.15</x:v>
      </x:c>
      <x:c r="W17" s="86" t="n">
        <x:v>5</x:v>
      </x:c>
      <x:c r="X17" s="85" t="n">
        <x:v>0.3</x:v>
      </x:c>
      <x:c r="Y17" s="63" t="str">
        <x:v>今後5年間の成長率：全職業で最強</x:v>
      </x:c>
    </x:row>
    <x:row r="18" ht="36" customHeight="1">
      <x:c r="A18" s="94" t="n">
        <x:v>14</x:v>
      </x:c>
      <x:c r="B18" s="82" t="str">
        <x:v>IT・研究・クリエイティブ</x:v>
      </x:c>
      <x:c r="C18" s="82" t="str">
        <x:v>knowledge</x:v>
      </x:c>
      <x:c r="D18" s="82" t="str">
        <x:v>foreignTech</x:v>
      </x:c>
      <x:c r="E18" s="82" t="str">
        <x:v>外資IT（GAFA系・RSU込み）</x:v>
      </x:c>
      <x:c r="F18" s="86" t="n">
        <x:v>67</x:v>
      </x:c>
      <x:c r="G18" s="86" t="n">
        <x:v>65</x:v>
      </x:c>
      <x:c r="H18" s="86" t="n">
        <x:v>48</x:v>
      </x:c>
      <x:c r="I18" s="86" t="n">
        <x:v>800</x:v>
      </x:c>
      <x:c r="J18" s="109" t="n">
        <x:f>IF(D18="homemaker",I18,IF(I18=0,0,ROUND(I18*IF(30&lt;H18,MAX('共通設定'!$D$15,1-ABS(30-H18)*'共通設定'!$D$16),MAX('共通設定'!$D$17,1-(30-H18)*'共通設定'!$D$18)),0)))</x:f>
        <x:v>520</x:v>
      </x:c>
      <x:c r="K18" s="85" t="n">
        <x:v>0.045</x:v>
      </x:c>
      <x:c r="L18" s="112" t="n">
        <x:v>0.4</x:v>
      </x:c>
      <x:c r="M18" s="91" t="n">
        <x:f>L18*'容姿'!$D$5</x:f>
        <x:v>0.0024000000000000002</x:v>
      </x:c>
      <x:c r="N18" s="85" t="n">
        <x:v>0.018</x:v>
      </x:c>
      <x:c r="O18" s="85" t="n">
        <x:v>0.75</x:v>
      </x:c>
      <x:c r="P18" s="82" t="str">
        <x:v>MID</x:v>
      </x:c>
      <x:c r="Q18" s="85" t="n">
        <x:v>0.14</x:v>
      </x:c>
      <x:c r="R18" s="85" t="n">
        <x:v>0.09</x:v>
      </x:c>
      <x:c r="S18" s="85" t="n">
        <x:v>0.03</x:v>
      </x:c>
      <x:c r="T18" s="85" t="n">
        <x:v>-0.01</x:v>
      </x:c>
      <x:c r="U18" s="85" t="n">
        <x:v>-0.05</x:v>
      </x:c>
      <x:c r="V18" s="85" t="n">
        <x:v>-0.09</x:v>
      </x:c>
      <x:c r="W18" s="86" t="str"/>
      <x:c r="X18" s="85" t="str"/>
      <x:c r="Y18" s="63" t="str">
        <x:v>RSU込みの高成長・高利回りモデル</x:v>
      </x:c>
    </x:row>
    <x:row r="19" ht="36" customHeight="1">
      <x:c r="A19" s="94" t="n">
        <x:v>15</x:v>
      </x:c>
      <x:c r="B19" s="82" t="str">
        <x:v>IT・研究・クリエイティブ</x:v>
      </x:c>
      <x:c r="C19" s="82" t="str">
        <x:v>knowledge</x:v>
      </x:c>
      <x:c r="D19" s="82" t="str">
        <x:v>productData</x:v>
      </x:c>
      <x:c r="E19" s="82" t="str">
        <x:v>プロダクト・データ・IT専門職</x:v>
      </x:c>
      <x:c r="F19" s="86" t="n">
        <x:v>67</x:v>
      </x:c>
      <x:c r="G19" s="86" t="n">
        <x:v>65</x:v>
      </x:c>
      <x:c r="H19" s="86" t="n">
        <x:v>48</x:v>
      </x:c>
      <x:c r="I19" s="86" t="n">
        <x:v>550</x:v>
      </x:c>
      <x:c r="J19" s="109" t="n">
        <x:f>IF(D19="homemaker",I19,IF(I19=0,0,ROUND(I19*IF(30&lt;H19,MAX('共通設定'!$D$15,1-ABS(30-H19)*'共通設定'!$D$16),MAX('共通設定'!$D$17,1-(30-H19)*'共通設定'!$D$18)),0)))</x:f>
        <x:v>358</x:v>
      </x:c>
      <x:c r="K19" s="85" t="n">
        <x:v>0.032</x:v>
      </x:c>
      <x:c r="L19" s="112" t="n">
        <x:v>0.7</x:v>
      </x:c>
      <x:c r="M19" s="91" t="n">
        <x:f>L19*'容姿'!$D$5</x:f>
        <x:v>0.0042</x:v>
      </x:c>
      <x:c r="N19" s="85" t="n">
        <x:v>0.015</x:v>
      </x:c>
      <x:c r="O19" s="85" t="n">
        <x:v>0.7</x:v>
      </x:c>
      <x:c r="P19" s="82" t="str">
        <x:v>MID-LOW</x:v>
      </x:c>
      <x:c r="Q19" s="85" t="n">
        <x:v>0.085</x:v>
      </x:c>
      <x:c r="R19" s="85" t="n">
        <x:v>0.055</x:v>
      </x:c>
      <x:c r="S19" s="85" t="n">
        <x:v>0.015</x:v>
      </x:c>
      <x:c r="T19" s="85" t="n">
        <x:v>-0.02</x:v>
      </x:c>
      <x:c r="U19" s="85" t="n">
        <x:v>-0.05</x:v>
      </x:c>
      <x:c r="V19" s="85" t="n">
        <x:v>-0.085</x:v>
      </x:c>
      <x:c r="W19" s="86" t="str"/>
      <x:c r="X19" s="85" t="str"/>
      <x:c r="Y19" s="63" t="str"/>
    </x:row>
    <x:row r="20" ht="36" customHeight="1">
      <x:c r="A20" s="94" t="n">
        <x:v>16</x:v>
      </x:c>
      <x:c r="B20" s="82" t="str">
        <x:v>IT・研究・クリエイティブ</x:v>
      </x:c>
      <x:c r="C20" s="82" t="str">
        <x:v>knowledge</x:v>
      </x:c>
      <x:c r="D20" s="82" t="str">
        <x:v>researcher</x:v>
      </x:c>
      <x:c r="E20" s="82" t="str">
        <x:v>研究者・大学教員</x:v>
      </x:c>
      <x:c r="F20" s="86" t="n">
        <x:v>70</x:v>
      </x:c>
      <x:c r="G20" s="86" t="n">
        <x:v>70</x:v>
      </x:c>
      <x:c r="H20" s="86" t="n">
        <x:v>55</x:v>
      </x:c>
      <x:c r="I20" s="86" t="n">
        <x:v>400</x:v>
      </x:c>
      <x:c r="J20" s="109" t="n">
        <x:f>IF(D20="homemaker",I20,IF(I20=0,0,ROUND(I20*IF(30&lt;H20,MAX('共通設定'!$D$15,1-ABS(30-H20)*'共通設定'!$D$16),MAX('共通設定'!$D$17,1-(30-H20)*'共通設定'!$D$18)),0)))</x:f>
        <x:v>260</x:v>
      </x:c>
      <x:c r="K20" s="85" t="n">
        <x:v>0.025</x:v>
      </x:c>
      <x:c r="L20" s="112" t="n">
        <x:v>0.2</x:v>
      </x:c>
      <x:c r="M20" s="91" t="n">
        <x:f>L20*'容姿'!$D$5</x:f>
        <x:v>0.0012000000000000001</x:v>
      </x:c>
      <x:c r="N20" s="85" t="n">
        <x:v>0.01</x:v>
      </x:c>
      <x:c r="O20" s="85" t="n">
        <x:v>0.7</x:v>
      </x:c>
      <x:c r="P20" s="82" t="str">
        <x:v>LOW</x:v>
      </x:c>
      <x:c r="Q20" s="85" t="n">
        <x:v>0.065</x:v>
      </x:c>
      <x:c r="R20" s="85" t="n">
        <x:v>0.045</x:v>
      </x:c>
      <x:c r="S20" s="85" t="n">
        <x:v>0.015</x:v>
      </x:c>
      <x:c r="T20" s="85" t="n">
        <x:v>-0.01</x:v>
      </x:c>
      <x:c r="U20" s="85" t="n">
        <x:v>-0.035</x:v>
      </x:c>
      <x:c r="V20" s="85" t="n">
        <x:v>-0.06</x:v>
      </x:c>
      <x:c r="W20" s="86" t="str"/>
      <x:c r="X20" s="85" t="str"/>
      <x:c r="Y20" s="63" t="str"/>
    </x:row>
    <x:row r="21" ht="36" customHeight="1">
      <x:c r="A21" s="94" t="n">
        <x:v>17</x:v>
      </x:c>
      <x:c r="B21" s="82" t="str">
        <x:v>IT・研究・クリエイティブ</x:v>
      </x:c>
      <x:c r="C21" s="82" t="str">
        <x:v>knowledge</x:v>
      </x:c>
      <x:c r="D21" s="82" t="str">
        <x:v>creative</x:v>
      </x:c>
      <x:c r="E21" s="82" t="str">
        <x:v>デザイナー・編集・ライター</x:v>
      </x:c>
      <x:c r="F21" s="86" t="n">
        <x:v>67</x:v>
      </x:c>
      <x:c r="G21" s="86" t="n">
        <x:v>65</x:v>
      </x:c>
      <x:c r="H21" s="86" t="n">
        <x:v>42</x:v>
      </x:c>
      <x:c r="I21" s="86" t="n">
        <x:v>300</x:v>
      </x:c>
      <x:c r="J21" s="109" t="n">
        <x:f>IF(D21="homemaker",I21,IF(I21=0,0,ROUND(I21*IF(30&lt;H21,MAX('共通設定'!$D$15,1-ABS(30-H21)*'共通設定'!$D$16),MAX('共通設定'!$D$17,1-(30-H21)*'共通設定'!$D$18)),0)))</x:f>
        <x:v>228</x:v>
      </x:c>
      <x:c r="K21" s="85" t="n">
        <x:v>0.026</x:v>
      </x:c>
      <x:c r="L21" s="112" t="n">
        <x:v>1</x:v>
      </x:c>
      <x:c r="M21" s="91" t="n">
        <x:f>L21*'容姿'!$D$5</x:f>
        <x:v>0.006</x:v>
      </x:c>
      <x:c r="N21" s="85" t="n">
        <x:v>0.03</x:v>
      </x:c>
      <x:c r="O21" s="85" t="n">
        <x:v>0.55</x:v>
      </x:c>
      <x:c r="P21" s="82" t="str">
        <x:v>HIGH</x:v>
      </x:c>
      <x:c r="Q21" s="85" t="n">
        <x:v>0.075</x:v>
      </x:c>
      <x:c r="R21" s="85" t="n">
        <x:v>0.05</x:v>
      </x:c>
      <x:c r="S21" s="85" t="n">
        <x:v>0.015</x:v>
      </x:c>
      <x:c r="T21" s="85" t="n">
        <x:v>-0.015</x:v>
      </x:c>
      <x:c r="U21" s="85" t="n">
        <x:v>-0.05</x:v>
      </x:c>
      <x:c r="V21" s="85" t="n">
        <x:v>-0.08</x:v>
      </x:c>
      <x:c r="W21" s="86" t="str"/>
      <x:c r="X21" s="85" t="str"/>
      <x:c r="Y21" s="63" t="str"/>
    </x:row>
    <x:row r="22" ht="36" customHeight="1">
      <x:c r="A22" s="94" t="n">
        <x:v>18</x:v>
      </x:c>
      <x:c r="B22" s="82" t="str">
        <x:v>IT・研究・クリエイティブ</x:v>
      </x:c>
      <x:c r="C22" s="82" t="str">
        <x:v>knowledge</x:v>
      </x:c>
      <x:c r="D22" s="82" t="str">
        <x:v>mangaArtist</x:v>
      </x:c>
      <x:c r="E22" s="82" t="str">
        <x:v>漫画家・イラストレーター</x:v>
      </x:c>
      <x:c r="F22" s="86" t="n">
        <x:v>70</x:v>
      </x:c>
      <x:c r="G22" s="86" t="n">
        <x:v>60</x:v>
      </x:c>
      <x:c r="H22" s="86" t="n">
        <x:v>42</x:v>
      </x:c>
      <x:c r="I22" s="86" t="n">
        <x:v>240</x:v>
      </x:c>
      <x:c r="J22" s="109" t="n">
        <x:f>IF(D22="homemaker",I22,IF(I22=0,0,ROUND(I22*IF(30&lt;H22,MAX('共通設定'!$D$15,1-ABS(30-H22)*'共通設定'!$D$16),MAX('共通設定'!$D$17,1-(30-H22)*'共通設定'!$D$18)),0)))</x:f>
        <x:v>182</x:v>
      </x:c>
      <x:c r="K22" s="85" t="n">
        <x:v>0.028</x:v>
      </x:c>
      <x:c r="L22" s="112" t="n">
        <x:v>1.2</x:v>
      </x:c>
      <x:c r="M22" s="91" t="n">
        <x:f>L22*'容姿'!$D$5</x:f>
        <x:v>0.0072</x:v>
      </x:c>
      <x:c r="N22" s="85" t="n">
        <x:v>0.06</x:v>
      </x:c>
      <x:c r="O22" s="85" t="n">
        <x:v>0.45</x:v>
      </x:c>
      <x:c r="P22" s="82" t="str">
        <x:v>VERY HIGH</x:v>
      </x:c>
      <x:c r="Q22" s="85" t="n">
        <x:v>0.3</x:v>
      </x:c>
      <x:c r="R22" s="85" t="n">
        <x:v>0.15</x:v>
      </x:c>
      <x:c r="S22" s="85" t="n">
        <x:v>-0.1</x:v>
      </x:c>
      <x:c r="T22" s="85" t="n">
        <x:v>-0.25</x:v>
      </x:c>
      <x:c r="U22" s="85" t="n">
        <x:v>-0.3</x:v>
      </x:c>
      <x:c r="V22" s="85" t="n">
        <x:v>-0.45</x:v>
      </x:c>
      <x:c r="W22" s="86" t="str"/>
      <x:c r="X22" s="85" t="str"/>
      <x:c r="Y22" s="63" t="str">
        <x:v>印税・ヒット作による極端な上振れモデル</x:v>
      </x:c>
    </x:row>
    <x:row r="23" ht="36" customHeight="1">
      <x:c r="A23" s="94" t="n">
        <x:v>19</x:v>
      </x:c>
      <x:c r="B23" s="82" t="str">
        <x:v>会社員・公共・サービス</x:v>
      </x:c>
      <x:c r="C23" s="82" t="str">
        <x:v>employee</x:v>
      </x:c>
      <x:c r="D23" s="82" t="str">
        <x:v>listedManager</x:v>
      </x:c>
      <x:c r="E23" s="82" t="str">
        <x:v>上場企業 管理職・高度専門職</x:v>
      </x:c>
      <x:c r="F23" s="86" t="n">
        <x:v>65</x:v>
      </x:c>
      <x:c r="G23" s="86" t="n">
        <x:v>65</x:v>
      </x:c>
      <x:c r="H23" s="86" t="n">
        <x:v>55</x:v>
      </x:c>
      <x:c r="I23" s="86" t="n">
        <x:v>700</x:v>
      </x:c>
      <x:c r="J23" s="109" t="n">
        <x:f>IF(D23="homemaker",I23,IF(I23=0,0,ROUND(I23*IF(30&lt;H23,MAX('共通設定'!$D$15,1-ABS(30-H23)*'共通設定'!$D$16),MAX('共通設定'!$D$17,1-(30-H23)*'共通設定'!$D$18)),0)))</x:f>
        <x:v>455</x:v>
      </x:c>
      <x:c r="K23" s="85" t="n">
        <x:v>0.03</x:v>
      </x:c>
      <x:c r="L23" s="112" t="n">
        <x:v>0.6</x:v>
      </x:c>
      <x:c r="M23" s="91" t="n">
        <x:f>L23*'容姿'!$D$5</x:f>
        <x:v>0.0036</x:v>
      </x:c>
      <x:c r="N23" s="85" t="n">
        <x:v>0.008</x:v>
      </x:c>
      <x:c r="O23" s="85" t="n">
        <x:v>0.75</x:v>
      </x:c>
      <x:c r="P23" s="82" t="str">
        <x:v>LOW</x:v>
      </x:c>
      <x:c r="Q23" s="85" t="n">
        <x:v>0.045</x:v>
      </x:c>
      <x:c r="R23" s="85" t="n">
        <x:v>0.03</x:v>
      </x:c>
      <x:c r="S23" s="85" t="n">
        <x:v>0.01</x:v>
      </x:c>
      <x:c r="T23" s="85" t="n">
        <x:v>-0.005</x:v>
      </x:c>
      <x:c r="U23" s="85" t="n">
        <x:v>-0.03</x:v>
      </x:c>
      <x:c r="V23" s="85" t="n">
        <x:v>-0.05</x:v>
      </x:c>
      <x:c r="W23" s="86" t="str"/>
      <x:c r="X23" s="85" t="str"/>
      <x:c r="Y23" s="63" t="str"/>
    </x:row>
    <x:row r="24" ht="36" customHeight="1">
      <x:c r="A24" s="94" t="n">
        <x:v>20</x:v>
      </x:c>
      <x:c r="B24" s="82" t="str">
        <x:v>会社員・公共・サービス</x:v>
      </x:c>
      <x:c r="C24" s="82" t="str">
        <x:v>employee</x:v>
      </x:c>
      <x:c r="D24" s="82" t="str">
        <x:v>listedGeneral</x:v>
      </x:c>
      <x:c r="E24" s="82" t="str">
        <x:v>上場企業 一般社員</x:v>
      </x:c>
      <x:c r="F24" s="86" t="n">
        <x:v>65</x:v>
      </x:c>
      <x:c r="G24" s="86" t="n">
        <x:v>65</x:v>
      </x:c>
      <x:c r="H24" s="86" t="n">
        <x:v>55</x:v>
      </x:c>
      <x:c r="I24" s="86" t="n">
        <x:v>400</x:v>
      </x:c>
      <x:c r="J24" s="109" t="n">
        <x:f>IF(D24="homemaker",I24,IF(I24=0,0,ROUND(I24*IF(30&lt;H24,MAX('共通設定'!$D$15,1-ABS(30-H24)*'共通設定'!$D$16),MAX('共通設定'!$D$17,1-(30-H24)*'共通設定'!$D$18)),0)))</x:f>
        <x:v>260</x:v>
      </x:c>
      <x:c r="K24" s="85" t="n">
        <x:v>0.028</x:v>
      </x:c>
      <x:c r="L24" s="112" t="n">
        <x:v>0.5</x:v>
      </x:c>
      <x:c r="M24" s="91" t="n">
        <x:f>L24*'容姿'!$D$5</x:f>
        <x:v>0.003</x:v>
      </x:c>
      <x:c r="N24" s="85" t="n">
        <x:v>0.008</x:v>
      </x:c>
      <x:c r="O24" s="85" t="n">
        <x:v>0.75</x:v>
      </x:c>
      <x:c r="P24" s="82" t="str">
        <x:v>LOW</x:v>
      </x:c>
      <x:c r="Q24" s="85" t="n">
        <x:v>0.045</x:v>
      </x:c>
      <x:c r="R24" s="85" t="n">
        <x:v>0.03</x:v>
      </x:c>
      <x:c r="S24" s="85" t="n">
        <x:v>0.01</x:v>
      </x:c>
      <x:c r="T24" s="85" t="n">
        <x:v>-0.005</x:v>
      </x:c>
      <x:c r="U24" s="85" t="n">
        <x:v>-0.03</x:v>
      </x:c>
      <x:c r="V24" s="85" t="n">
        <x:v>-0.05</x:v>
      </x:c>
      <x:c r="W24" s="86" t="str"/>
      <x:c r="X24" s="85" t="str"/>
      <x:c r="Y24" s="63" t="str"/>
    </x:row>
    <x:row r="25" ht="36" customHeight="1">
      <x:c r="A25" s="94" t="n">
        <x:v>21</x:v>
      </x:c>
      <x:c r="B25" s="82" t="str">
        <x:v>会社員・公共・サービス</x:v>
      </x:c>
      <x:c r="C25" s="82" t="str">
        <x:v>employee</x:v>
      </x:c>
      <x:c r="D25" s="82" t="str">
        <x:v>sme</x:v>
      </x:c>
      <x:c r="E25" s="82" t="str">
        <x:v>中小企業 事務・営業職</x:v>
      </x:c>
      <x:c r="F25" s="86" t="n">
        <x:v>65</x:v>
      </x:c>
      <x:c r="G25" s="86" t="n">
        <x:v>65</x:v>
      </x:c>
      <x:c r="H25" s="86" t="n">
        <x:v>53</x:v>
      </x:c>
      <x:c r="I25" s="86" t="n">
        <x:v>300</x:v>
      </x:c>
      <x:c r="J25" s="109" t="n">
        <x:f>IF(D25="homemaker",I25,IF(I25=0,0,ROUND(I25*IF(30&lt;H25,MAX('共通設定'!$D$15,1-ABS(30-H25)*'共通設定'!$D$16),MAX('共通設定'!$D$17,1-(30-H25)*'共通設定'!$D$18)),0)))</x:f>
        <x:v>195</x:v>
      </x:c>
      <x:c r="K25" s="85" t="n">
        <x:v>0.025</x:v>
      </x:c>
      <x:c r="L25" s="112" t="n">
        <x:v>0.5</x:v>
      </x:c>
      <x:c r="M25" s="91" t="n">
        <x:f>L25*'容姿'!$D$5</x:f>
        <x:v>0.003</x:v>
      </x:c>
      <x:c r="N25" s="85" t="n">
        <x:v>0.012</x:v>
      </x:c>
      <x:c r="O25" s="85" t="n">
        <x:v>0.65</x:v>
      </x:c>
      <x:c r="P25" s="82" t="str">
        <x:v>MID-LOW</x:v>
      </x:c>
      <x:c r="Q25" s="85" t="n">
        <x:v>0.045</x:v>
      </x:c>
      <x:c r="R25" s="85" t="n">
        <x:v>0.03</x:v>
      </x:c>
      <x:c r="S25" s="85" t="n">
        <x:v>0.01</x:v>
      </x:c>
      <x:c r="T25" s="85" t="n">
        <x:v>-0.005</x:v>
      </x:c>
      <x:c r="U25" s="85" t="n">
        <x:v>-0.03</x:v>
      </x:c>
      <x:c r="V25" s="85" t="n">
        <x:v>-0.05</x:v>
      </x:c>
      <x:c r="W25" s="86" t="str"/>
      <x:c r="X25" s="85" t="str"/>
      <x:c r="Y25" s="63" t="str"/>
    </x:row>
    <x:row r="26" ht="36" customHeight="1">
      <x:c r="A26" s="94" t="n">
        <x:v>22</x:v>
      </x:c>
      <x:c r="B26" s="82" t="str">
        <x:v>会社員・公共・サービス</x:v>
      </x:c>
      <x:c r="C26" s="82" t="str">
        <x:v>employee</x:v>
      </x:c>
      <x:c r="D26" s="82" t="str">
        <x:v>nonRegular</x:v>
      </x:c>
      <x:c r="E26" s="82" t="str">
        <x:v>非正規雇用</x:v>
      </x:c>
      <x:c r="F26" s="86" t="n">
        <x:v>65</x:v>
      </x:c>
      <x:c r="G26" s="86" t="n">
        <x:v>65</x:v>
      </x:c>
      <x:c r="H26" s="86" t="n">
        <x:v>45</x:v>
      </x:c>
      <x:c r="I26" s="86" t="n">
        <x:v>180</x:v>
      </x:c>
      <x:c r="J26" s="109" t="n">
        <x:f>IF(D26="homemaker",I26,IF(I26=0,0,ROUND(I26*IF(30&lt;H26,MAX('共通設定'!$D$15,1-ABS(30-H26)*'共通設定'!$D$16),MAX('共通設定'!$D$17,1-(30-H26)*'共通設定'!$D$18)),0)))</x:f>
        <x:v>126</x:v>
      </x:c>
      <x:c r="K26" s="85" t="n">
        <x:v>0.018</x:v>
      </x:c>
      <x:c r="L26" s="112" t="n">
        <x:v>0.7</x:v>
      </x:c>
      <x:c r="M26" s="91" t="n">
        <x:f>L26*'容姿'!$D$5</x:f>
        <x:v>0.0042</x:v>
      </x:c>
      <x:c r="N26" s="85" t="n">
        <x:v>0.045</x:v>
      </x:c>
      <x:c r="O26" s="85" t="n">
        <x:v>0.5</x:v>
      </x:c>
      <x:c r="P26" s="82" t="str">
        <x:v>HIGH</x:v>
      </x:c>
      <x:c r="Q26" s="85" t="n">
        <x:v>0.04</x:v>
      </x:c>
      <x:c r="R26" s="85" t="n">
        <x:v>0.025</x:v>
      </x:c>
      <x:c r="S26" s="85" t="n">
        <x:v>0.005</x:v>
      </x:c>
      <x:c r="T26" s="85" t="n">
        <x:v>-0.015</x:v>
      </x:c>
      <x:c r="U26" s="85" t="n">
        <x:v>-0.04</x:v>
      </x:c>
      <x:c r="V26" s="85" t="n">
        <x:v>-0.065</x:v>
      </x:c>
      <x:c r="W26" s="86" t="str"/>
      <x:c r="X26" s="85" t="str"/>
      <x:c r="Y26" s="63" t="str"/>
    </x:row>
    <x:row r="27" ht="36" customHeight="1">
      <x:c r="A27" s="94" t="n">
        <x:v>23</x:v>
      </x:c>
      <x:c r="B27" s="82" t="str">
        <x:v>会社員・公共・サービス</x:v>
      </x:c>
      <x:c r="C27" s="82" t="str">
        <x:v>employee</x:v>
      </x:c>
      <x:c r="D27" s="82" t="str">
        <x:v>skilled</x:v>
      </x:c>
      <x:c r="E27" s="82" t="str">
        <x:v>製造・建設・物流・技能職</x:v>
      </x:c>
      <x:c r="F27" s="86" t="n">
        <x:v>65</x:v>
      </x:c>
      <x:c r="G27" s="86" t="n">
        <x:v>65</x:v>
      </x:c>
      <x:c r="H27" s="86" t="n">
        <x:v>52</x:v>
      </x:c>
      <x:c r="I27" s="86" t="n">
        <x:v>320</x:v>
      </x:c>
      <x:c r="J27" s="109" t="n">
        <x:f>IF(D27="homemaker",I27,IF(I27=0,0,ROUND(I27*IF(30&lt;H27,MAX('共通設定'!$D$15,1-ABS(30-H27)*'共通設定'!$D$16),MAX('共通設定'!$D$17,1-(30-H27)*'共通設定'!$D$18)),0)))</x:f>
        <x:v>208</x:v>
      </x:c>
      <x:c r="K27" s="85" t="n">
        <x:v>0.024</x:v>
      </x:c>
      <x:c r="L27" s="112" t="n">
        <x:v>0.3</x:v>
      </x:c>
      <x:c r="M27" s="91" t="n">
        <x:f>L27*'容姿'!$D$5</x:f>
        <x:v>0.0018</x:v>
      </x:c>
      <x:c r="N27" s="85" t="n">
        <x:v>0.015</x:v>
      </x:c>
      <x:c r="O27" s="85" t="n">
        <x:v>0.65</x:v>
      </x:c>
      <x:c r="P27" s="82" t="str">
        <x:v>MID-LOW</x:v>
      </x:c>
      <x:c r="Q27" s="85" t="n">
        <x:v>0.045</x:v>
      </x:c>
      <x:c r="R27" s="85" t="n">
        <x:v>0.03</x:v>
      </x:c>
      <x:c r="S27" s="85" t="n">
        <x:v>0.01</x:v>
      </x:c>
      <x:c r="T27" s="85" t="n">
        <x:v>-0.005</x:v>
      </x:c>
      <x:c r="U27" s="85" t="n">
        <x:v>-0.03</x:v>
      </x:c>
      <x:c r="V27" s="85" t="n">
        <x:v>-0.05</x:v>
      </x:c>
      <x:c r="W27" s="86" t="str"/>
      <x:c r="X27" s="85" t="str"/>
      <x:c r="Y27" s="63" t="str"/>
    </x:row>
    <x:row r="28" ht="36" customHeight="1">
      <x:c r="A28" s="94" t="n">
        <x:v>24</x:v>
      </x:c>
      <x:c r="B28" s="82" t="str">
        <x:v>会社員・公共・サービス</x:v>
      </x:c>
      <x:c r="C28" s="82" t="str">
        <x:v>employee</x:v>
      </x:c>
      <x:c r="D28" s="82" t="str">
        <x:v>service</x:v>
      </x:c>
      <x:c r="E28" s="82" t="str">
        <x:v>小売・飲食・宿泊・介護サービス</x:v>
      </x:c>
      <x:c r="F28" s="86" t="n">
        <x:v>65</x:v>
      </x:c>
      <x:c r="G28" s="86" t="n">
        <x:v>65</x:v>
      </x:c>
      <x:c r="H28" s="86" t="n">
        <x:v>48</x:v>
      </x:c>
      <x:c r="I28" s="86" t="n">
        <x:v>260</x:v>
      </x:c>
      <x:c r="J28" s="109" t="n">
        <x:f>IF(D28="homemaker",I28,IF(I28=0,0,ROUND(I28*IF(30&lt;H28,MAX('共通設定'!$D$15,1-ABS(30-H28)*'共通設定'!$D$16),MAX('共通設定'!$D$17,1-(30-H28)*'共通設定'!$D$18)),0)))</x:f>
        <x:v>169</x:v>
      </x:c>
      <x:c r="K28" s="85" t="n">
        <x:v>0.022</x:v>
      </x:c>
      <x:c r="L28" s="112" t="n">
        <x:v>0.8</x:v>
      </x:c>
      <x:c r="M28" s="91" t="n">
        <x:f>L28*'容姿'!$D$5</x:f>
        <x:v>0.0048000000000000004</x:v>
      </x:c>
      <x:c r="N28" s="85" t="n">
        <x:v>0.02</x:v>
      </x:c>
      <x:c r="O28" s="85" t="n">
        <x:v>0.6</x:v>
      </x:c>
      <x:c r="P28" s="82" t="str">
        <x:v>MID</x:v>
      </x:c>
      <x:c r="Q28" s="85" t="n">
        <x:v>0.04</x:v>
      </x:c>
      <x:c r="R28" s="85" t="n">
        <x:v>0.025</x:v>
      </x:c>
      <x:c r="S28" s="85" t="n">
        <x:v>0.005</x:v>
      </x:c>
      <x:c r="T28" s="85" t="n">
        <x:v>-0.015</x:v>
      </x:c>
      <x:c r="U28" s="85" t="n">
        <x:v>-0.04</x:v>
      </x:c>
      <x:c r="V28" s="85" t="n">
        <x:v>-0.065</x:v>
      </x:c>
      <x:c r="W28" s="86" t="str"/>
      <x:c r="X28" s="85" t="str"/>
      <x:c r="Y28" s="63" t="str"/>
    </x:row>
    <x:row r="29" ht="36" customHeight="1">
      <x:c r="A29" s="94" t="n">
        <x:v>25</x:v>
      </x:c>
      <x:c r="B29" s="82" t="str">
        <x:v>会社員・公共・サービス</x:v>
      </x:c>
      <x:c r="C29" s="82" t="str">
        <x:v>employee</x:v>
      </x:c>
      <x:c r="D29" s="82" t="str">
        <x:v>public</x:v>
      </x:c>
      <x:c r="E29" s="82" t="str">
        <x:v>公務員</x:v>
      </x:c>
      <x:c r="F29" s="86" t="n">
        <x:v>65</x:v>
      </x:c>
      <x:c r="G29" s="86" t="n">
        <x:v>65</x:v>
      </x:c>
      <x:c r="H29" s="86" t="n">
        <x:v>60</x:v>
      </x:c>
      <x:c r="I29" s="86" t="n">
        <x:v>350</x:v>
      </x:c>
      <x:c r="J29" s="109" t="n">
        <x:f>IF(D29="homemaker",I29,IF(I29=0,0,ROUND(I29*IF(30&lt;H29,MAX('共通設定'!$D$15,1-ABS(30-H29)*'共通設定'!$D$16),MAX('共通設定'!$D$17,1-(30-H29)*'共通設定'!$D$18)),0)))</x:f>
        <x:v>228</x:v>
      </x:c>
      <x:c r="K29" s="85" t="n">
        <x:v>0.023</x:v>
      </x:c>
      <x:c r="L29" s="112" t="n">
        <x:v>0.2</x:v>
      </x:c>
      <x:c r="M29" s="91" t="n">
        <x:f>L29*'容姿'!$D$5</x:f>
        <x:v>0.0012000000000000001</x:v>
      </x:c>
      <x:c r="N29" s="85" t="n">
        <x:v>0.002</x:v>
      </x:c>
      <x:c r="O29" s="85" t="n">
        <x:v>0.8</x:v>
      </x:c>
      <x:c r="P29" s="82" t="str">
        <x:v>VERY LOW</x:v>
      </x:c>
      <x:c r="Q29" s="85" t="n">
        <x:v>0.03</x:v>
      </x:c>
      <x:c r="R29" s="85" t="n">
        <x:v>0.022</x:v>
      </x:c>
      <x:c r="S29" s="85" t="n">
        <x:v>0.012</x:v>
      </x:c>
      <x:c r="T29" s="85" t="n">
        <x:v>0</x:v>
      </x:c>
      <x:c r="U29" s="85" t="n">
        <x:v>-0.015</x:v>
      </x:c>
      <x:c r="V29" s="85" t="n">
        <x:v>-0.035</x:v>
      </x:c>
      <x:c r="W29" s="86" t="str"/>
      <x:c r="X29" s="85" t="str"/>
      <x:c r="Y29" s="63" t="str"/>
    </x:row>
    <x:row r="30" ht="36" customHeight="1">
      <x:c r="A30" s="94" t="n">
        <x:v>26</x:v>
      </x:c>
      <x:c r="B30" s="82" t="str">
        <x:v>会社員・公共・サービス</x:v>
      </x:c>
      <x:c r="C30" s="82" t="str">
        <x:v>employee</x:v>
      </x:c>
      <x:c r="D30" s="82" t="str">
        <x:v>teacher</x:v>
      </x:c>
      <x:c r="E30" s="82" t="str">
        <x:v>教師</x:v>
      </x:c>
      <x:c r="F30" s="86" t="n">
        <x:v>65</x:v>
      </x:c>
      <x:c r="G30" s="86" t="n">
        <x:v>65</x:v>
      </x:c>
      <x:c r="H30" s="86" t="n">
        <x:v>55</x:v>
      </x:c>
      <x:c r="I30" s="86" t="n">
        <x:v>350</x:v>
      </x:c>
      <x:c r="J30" s="109" t="n">
        <x:f>IF(D30="homemaker",I30,IF(I30=0,0,ROUND(I30*IF(30&lt;H30,MAX('共通設定'!$D$15,1-ABS(30-H30)*'共通設定'!$D$16),MAX('共通設定'!$D$17,1-(30-H30)*'共通設定'!$D$18)),0)))</x:f>
        <x:v>228</x:v>
      </x:c>
      <x:c r="K30" s="85" t="n">
        <x:v>0.023</x:v>
      </x:c>
      <x:c r="L30" s="112" t="n">
        <x:v>0.4</x:v>
      </x:c>
      <x:c r="M30" s="91" t="n">
        <x:f>L30*'容姿'!$D$5</x:f>
        <x:v>0.0024000000000000002</x:v>
      </x:c>
      <x:c r="N30" s="85" t="n">
        <x:v>0.006</x:v>
      </x:c>
      <x:c r="O30" s="85" t="n">
        <x:v>0.75</x:v>
      </x:c>
      <x:c r="P30" s="82" t="str">
        <x:v>LOW</x:v>
      </x:c>
      <x:c r="Q30" s="85" t="n">
        <x:v>0.03</x:v>
      </x:c>
      <x:c r="R30" s="85" t="n">
        <x:v>0.022</x:v>
      </x:c>
      <x:c r="S30" s="85" t="n">
        <x:v>0.012</x:v>
      </x:c>
      <x:c r="T30" s="85" t="n">
        <x:v>0</x:v>
      </x:c>
      <x:c r="U30" s="85" t="n">
        <x:v>-0.015</x:v>
      </x:c>
      <x:c r="V30" s="85" t="n">
        <x:v>-0.035</x:v>
      </x:c>
      <x:c r="W30" s="86" t="str"/>
      <x:c r="X30" s="85" t="str"/>
      <x:c r="Y30" s="63" t="str"/>
    </x:row>
    <x:row r="31" ht="36" customHeight="1">
      <x:c r="A31" s="94" t="n">
        <x:v>27</x:v>
      </x:c>
      <x:c r="B31" s="82" t="str">
        <x:v>会社員・公共・サービス</x:v>
      </x:c>
      <x:c r="C31" s="82" t="str">
        <x:v>employee</x:v>
      </x:c>
      <x:c r="D31" s="82" t="str">
        <x:v>childcare</x:v>
      </x:c>
      <x:c r="E31" s="82" t="str">
        <x:v>保育士</x:v>
      </x:c>
      <x:c r="F31" s="86" t="n">
        <x:v>65</x:v>
      </x:c>
      <x:c r="G31" s="86" t="n">
        <x:v>65</x:v>
      </x:c>
      <x:c r="H31" s="86" t="n">
        <x:v>50</x:v>
      </x:c>
      <x:c r="I31" s="86" t="n">
        <x:v>260</x:v>
      </x:c>
      <x:c r="J31" s="109" t="n">
        <x:f>IF(D31="homemaker",I31,IF(I31=0,0,ROUND(I31*IF(30&lt;H31,MAX('共通設定'!$D$15,1-ABS(30-H31)*'共通設定'!$D$16),MAX('共通設定'!$D$17,1-(30-H31)*'共通設定'!$D$18)),0)))</x:f>
        <x:v>169</x:v>
      </x:c>
      <x:c r="K31" s="85" t="n">
        <x:v>0.02</x:v>
      </x:c>
      <x:c r="L31" s="112" t="n">
        <x:v>0.7</x:v>
      </x:c>
      <x:c r="M31" s="91" t="n">
        <x:f>L31*'容姿'!$D$5</x:f>
        <x:v>0.0042</x:v>
      </x:c>
      <x:c r="N31" s="85" t="n">
        <x:v>0.015</x:v>
      </x:c>
      <x:c r="O31" s="85" t="n">
        <x:v>0.65</x:v>
      </x:c>
      <x:c r="P31" s="82" t="str">
        <x:v>MID-LOW</x:v>
      </x:c>
      <x:c r="Q31" s="85" t="n">
        <x:v>0.04</x:v>
      </x:c>
      <x:c r="R31" s="85" t="n">
        <x:v>0.025</x:v>
      </x:c>
      <x:c r="S31" s="85" t="n">
        <x:v>0.005</x:v>
      </x:c>
      <x:c r="T31" s="85" t="n">
        <x:v>-0.015</x:v>
      </x:c>
      <x:c r="U31" s="85" t="n">
        <x:v>-0.04</x:v>
      </x:c>
      <x:c r="V31" s="85" t="n">
        <x:v>-0.065</x:v>
      </x:c>
      <x:c r="W31" s="86" t="str"/>
      <x:c r="X31" s="85" t="str"/>
      <x:c r="Y31" s="63" t="str"/>
    </x:row>
    <x:row r="32" ht="36" customHeight="1">
      <x:c r="A32" s="94" t="n">
        <x:v>28</x:v>
      </x:c>
      <x:c r="B32" s="82" t="str">
        <x:v>会社員・公共・サービス</x:v>
      </x:c>
      <x:c r="C32" s="82" t="str">
        <x:v>employee</x:v>
      </x:c>
      <x:c r="D32" s="82" t="str">
        <x:v>bureaucrat</x:v>
      </x:c>
      <x:c r="E32" s="82" t="str">
        <x:v>官僚（キャリア）</x:v>
      </x:c>
      <x:c r="F32" s="86" t="n">
        <x:v>70</x:v>
      </x:c>
      <x:c r="G32" s="86" t="n">
        <x:v>65</x:v>
      </x:c>
      <x:c r="H32" s="86" t="n">
        <x:v>58</x:v>
      </x:c>
      <x:c r="I32" s="86" t="n">
        <x:v>450</x:v>
      </x:c>
      <x:c r="J32" s="109" t="n">
        <x:f>IF(D32="homemaker",I32,IF(I32=0,0,ROUND(I32*IF(30&lt;H32,MAX('共通設定'!$D$15,1-ABS(30-H32)*'共通設定'!$D$16),MAX('共通設定'!$D$17,1-(30-H32)*'共通設定'!$D$18)),0)))</x:f>
        <x:v>293</x:v>
      </x:c>
      <x:c r="K32" s="85" t="n">
        <x:v>0.03</x:v>
      </x:c>
      <x:c r="L32" s="112" t="n">
        <x:v>0.2</x:v>
      </x:c>
      <x:c r="M32" s="91" t="n">
        <x:f>L32*'容姿'!$D$5</x:f>
        <x:v>0.0012000000000000001</x:v>
      </x:c>
      <x:c r="N32" s="85" t="n">
        <x:v>0.012</x:v>
      </x:c>
      <x:c r="O32" s="85" t="n">
        <x:v>0.8</x:v>
      </x:c>
      <x:c r="P32" s="82" t="str">
        <x:v>MID-LOW</x:v>
      </x:c>
      <x:c r="Q32" s="85" t="n">
        <x:v>0.03</x:v>
      </x:c>
      <x:c r="R32" s="85" t="n">
        <x:v>0.022</x:v>
      </x:c>
      <x:c r="S32" s="85" t="n">
        <x:v>0.012</x:v>
      </x:c>
      <x:c r="T32" s="85" t="n">
        <x:v>0</x:v>
      </x:c>
      <x:c r="U32" s="85" t="n">
        <x:v>-0.015</x:v>
      </x:c>
      <x:c r="V32" s="85" t="n">
        <x:v>-0.035</x:v>
      </x:c>
      <x:c r="W32" s="86" t="str"/>
      <x:c r="X32" s="85" t="str"/>
      <x:c r="Y32" s="63" t="str">
        <x:v>薄給激務から後半に伸びる特殊カーブ</x:v>
      </x:c>
    </x:row>
    <x:row r="33" ht="36" customHeight="1">
      <x:c r="A33" s="94" t="n">
        <x:v>29</x:v>
      </x:c>
      <x:c r="B33" s="82" t="str">
        <x:v>会社員・公共・サービス</x:v>
      </x:c>
      <x:c r="C33" s="82" t="str">
        <x:v>employee</x:v>
      </x:c>
      <x:c r="D33" s="82" t="str">
        <x:v>pilot</x:v>
      </x:c>
      <x:c r="E33" s="82" t="str">
        <x:v>パイロット</x:v>
      </x:c>
      <x:c r="F33" s="86" t="n">
        <x:v>67</x:v>
      </x:c>
      <x:c r="G33" s="86" t="n">
        <x:v>65</x:v>
      </x:c>
      <x:c r="H33" s="86" t="n">
        <x:v>55</x:v>
      </x:c>
      <x:c r="I33" s="86" t="n">
        <x:v>900</x:v>
      </x:c>
      <x:c r="J33" s="109" t="n">
        <x:f>IF(D33="homemaker",I33,IF(I33=0,0,ROUND(I33*IF(30&lt;H33,MAX('共通設定'!$D$15,1-ABS(30-H33)*'共通設定'!$D$16),MAX('共通設定'!$D$17,1-(30-H33)*'共通設定'!$D$18)),0)))</x:f>
        <x:v>585</x:v>
      </x:c>
      <x:c r="K33" s="85" t="n">
        <x:v>0.03</x:v>
      </x:c>
      <x:c r="L33" s="112" t="n">
        <x:v>0.4</x:v>
      </x:c>
      <x:c r="M33" s="91" t="n">
        <x:f>L33*'容姿'!$D$5</x:f>
        <x:v>0.0024000000000000002</x:v>
      </x:c>
      <x:c r="N33" s="85" t="n">
        <x:v>0.01</x:v>
      </x:c>
      <x:c r="O33" s="85" t="n">
        <x:v>0.8</x:v>
      </x:c>
      <x:c r="P33" s="82" t="str">
        <x:v>LOW</x:v>
      </x:c>
      <x:c r="Q33" s="85" t="n">
        <x:v>0.065</x:v>
      </x:c>
      <x:c r="R33" s="85" t="n">
        <x:v>0.045</x:v>
      </x:c>
      <x:c r="S33" s="85" t="n">
        <x:v>0.015</x:v>
      </x:c>
      <x:c r="T33" s="85" t="n">
        <x:v>-0.01</x:v>
      </x:c>
      <x:c r="U33" s="85" t="n">
        <x:v>-0.035</x:v>
      </x:c>
      <x:c r="V33" s="85" t="n">
        <x:v>-0.06</x:v>
      </x:c>
      <x:c r="W33" s="86" t="str"/>
      <x:c r="X33" s="85" t="str"/>
      <x:c r="Y33" s="63" t="str"/>
    </x:row>
    <x:row r="34" ht="36" customHeight="1">
      <x:c r="A34" s="94" t="n">
        <x:v>30</x:v>
      </x:c>
      <x:c r="B34" s="82" t="str">
        <x:v>会社員・公共・サービス</x:v>
      </x:c>
      <x:c r="C34" s="82" t="str">
        <x:v>employee</x:v>
      </x:c>
      <x:c r="D34" s="82" t="str">
        <x:v>cabinCrew</x:v>
      </x:c>
      <x:c r="E34" s="82" t="str">
        <x:v>客室乗務員（CA）</x:v>
      </x:c>
      <x:c r="F34" s="86" t="n">
        <x:v>65</x:v>
      </x:c>
      <x:c r="G34" s="86" t="n">
        <x:v>60</x:v>
      </x:c>
      <x:c r="H34" s="86" t="n">
        <x:v>45</x:v>
      </x:c>
      <x:c r="I34" s="86" t="n">
        <x:v>350</x:v>
      </x:c>
      <x:c r="J34" s="109" t="n">
        <x:f>IF(D34="homemaker",I34,IF(I34=0,0,ROUND(I34*IF(30&lt;H34,MAX('共通設定'!$D$15,1-ABS(30-H34)*'共通設定'!$D$16),MAX('共通設定'!$D$17,1-(30-H34)*'共通設定'!$D$18)),0)))</x:f>
        <x:v>245</x:v>
      </x:c>
      <x:c r="K34" s="85" t="n">
        <x:v>0.023</x:v>
      </x:c>
      <x:c r="L34" s="112" t="n">
        <x:v>1.6</x:v>
      </x:c>
      <x:c r="M34" s="91" t="n">
        <x:f>L34*'容姿'!$D$5</x:f>
        <x:v>0.009600000000000001</x:v>
      </x:c>
      <x:c r="N34" s="85" t="n">
        <x:v>0.025</x:v>
      </x:c>
      <x:c r="O34" s="85" t="n">
        <x:v>0.6</x:v>
      </x:c>
      <x:c r="P34" s="82" t="str">
        <x:v>HIGH</x:v>
      </x:c>
      <x:c r="Q34" s="85" t="n">
        <x:v>0.04</x:v>
      </x:c>
      <x:c r="R34" s="85" t="n">
        <x:v>0.025</x:v>
      </x:c>
      <x:c r="S34" s="85" t="n">
        <x:v>0.005</x:v>
      </x:c>
      <x:c r="T34" s="85" t="n">
        <x:v>-0.015</x:v>
      </x:c>
      <x:c r="U34" s="85" t="n">
        <x:v>-0.04</x:v>
      </x:c>
      <x:c r="V34" s="85" t="n">
        <x:v>-0.065</x:v>
      </x:c>
      <x:c r="W34" s="86" t="str"/>
      <x:c r="X34" s="85" t="str"/>
      <x:c r="Y34" s="63" t="str"/>
    </x:row>
    <x:row r="35" ht="36" customHeight="1">
      <x:c r="A35" s="94" t="n">
        <x:v>31</x:v>
      </x:c>
      <x:c r="B35" s="82" t="str">
        <x:v>会社員・公共・サービス</x:v>
      </x:c>
      <x:c r="C35" s="82" t="str">
        <x:v>employee</x:v>
      </x:c>
      <x:c r="D35" s="82" t="str">
        <x:v>beautician</x:v>
      </x:c>
      <x:c r="E35" s="82" t="str">
        <x:v>美容師</x:v>
      </x:c>
      <x:c r="F35" s="86" t="n">
        <x:v>70</x:v>
      </x:c>
      <x:c r="G35" s="86" t="n">
        <x:v>65</x:v>
      </x:c>
      <x:c r="H35" s="86" t="n">
        <x:v>48</x:v>
      </x:c>
      <x:c r="I35" s="86" t="n">
        <x:v>240</x:v>
      </x:c>
      <x:c r="J35" s="109" t="n">
        <x:f>IF(D35="homemaker",I35,IF(I35=0,0,ROUND(I35*IF(30&lt;H35,MAX('共通設定'!$D$15,1-ABS(30-H35)*'共通設定'!$D$16),MAX('共通設定'!$D$17,1-(30-H35)*'共通設定'!$D$18)),0)))</x:f>
        <x:v>156</x:v>
      </x:c>
      <x:c r="K35" s="85" t="n">
        <x:v>0.022</x:v>
      </x:c>
      <x:c r="L35" s="112" t="n">
        <x:v>2</x:v>
      </x:c>
      <x:c r="M35" s="91" t="n">
        <x:f>L35*'容姿'!$D$5</x:f>
        <x:v>0.012</x:v>
      </x:c>
      <x:c r="N35" s="85" t="n">
        <x:v>0.035</x:v>
      </x:c>
      <x:c r="O35" s="85" t="n">
        <x:v>0.55</x:v>
      </x:c>
      <x:c r="P35" s="82" t="str">
        <x:v>HIGH</x:v>
      </x:c>
      <x:c r="Q35" s="85" t="n">
        <x:v>0.075</x:v>
      </x:c>
      <x:c r="R35" s="85" t="n">
        <x:v>0.05</x:v>
      </x:c>
      <x:c r="S35" s="85" t="n">
        <x:v>0.015</x:v>
      </x:c>
      <x:c r="T35" s="85" t="n">
        <x:v>-0.015</x:v>
      </x:c>
      <x:c r="U35" s="85" t="n">
        <x:v>-0.05</x:v>
      </x:c>
      <x:c r="V35" s="85" t="n">
        <x:v>-0.08</x:v>
      </x:c>
      <x:c r="W35" s="86" t="str"/>
      <x:c r="X35" s="85" t="str"/>
      <x:c r="Y35" s="63" t="str">
        <x:v>アシスタント期から独立後へ伸びるモデル</x:v>
      </x:c>
    </x:row>
    <x:row r="36" ht="36" customHeight="1">
      <x:c r="A36" s="94" t="n">
        <x:v>32</x:v>
      </x:c>
      <x:c r="B36" s="82" t="str">
        <x:v>経営・独立</x:v>
      </x:c>
      <x:c r="C36" s="82" t="str">
        <x:v>independent</x:v>
      </x:c>
      <x:c r="D36" s="82" t="str">
        <x:v>founder</x:v>
      </x:c>
      <x:c r="E36" s="82" t="str">
        <x:v>スタートアップ起業家</x:v>
      </x:c>
      <x:c r="F36" s="86" t="n">
        <x:v>70</x:v>
      </x:c>
      <x:c r="G36" s="86" t="n">
        <x:v>70</x:v>
      </x:c>
      <x:c r="H36" s="86" t="n">
        <x:v>50</x:v>
      </x:c>
      <x:c r="I36" s="86" t="n">
        <x:v>300</x:v>
      </x:c>
      <x:c r="J36" s="109" t="n">
        <x:f>IF(D36="homemaker",I36,IF(I36=0,0,ROUND(I36*IF(30&lt;H36,MAX('共通設定'!$D$15,1-ABS(30-H36)*'共通設定'!$D$16),MAX('共通設定'!$D$17,1-(30-H36)*'共通設定'!$D$18)),0)))</x:f>
        <x:v>195</x:v>
      </x:c>
      <x:c r="K36" s="85" t="n">
        <x:v>0.03</x:v>
      </x:c>
      <x:c r="L36" s="112" t="n">
        <x:v>1</x:v>
      </x:c>
      <x:c r="M36" s="91" t="n">
        <x:f>L36*'容姿'!$D$5</x:f>
        <x:v>0.006</x:v>
      </x:c>
      <x:c r="N36" s="85" t="n">
        <x:v>0.045</x:v>
      </x:c>
      <x:c r="O36" s="85" t="n">
        <x:v>0.55</x:v>
      </x:c>
      <x:c r="P36" s="82" t="str">
        <x:v>VERY HIGH</x:v>
      </x:c>
      <x:c r="Q36" s="85" t="n">
        <x:v>0.14</x:v>
      </x:c>
      <x:c r="R36" s="85" t="n">
        <x:v>0.08</x:v>
      </x:c>
      <x:c r="S36" s="85" t="n">
        <x:v>0.02</x:v>
      </x:c>
      <x:c r="T36" s="85" t="n">
        <x:v>-0.04</x:v>
      </x:c>
      <x:c r="U36" s="85" t="n">
        <x:v>-0.08</x:v>
      </x:c>
      <x:c r="V36" s="85" t="n">
        <x:v>-0.14</x:v>
      </x:c>
      <x:c r="W36" s="86" t="str"/>
      <x:c r="X36" s="85" t="str"/>
      <x:c r="Y36" s="63" t="str"/>
    </x:row>
    <x:row r="37" ht="36" customHeight="1">
      <x:c r="A37" s="94" t="n">
        <x:v>33</x:v>
      </x:c>
      <x:c r="B37" s="82" t="str">
        <x:v>経営・独立</x:v>
      </x:c>
      <x:c r="C37" s="82" t="str">
        <x:v>independent</x:v>
      </x:c>
      <x:c r="D37" s="82" t="str">
        <x:v>angelInvestor</x:v>
      </x:c>
      <x:c r="E37" s="82" t="str">
        <x:v>エンジェル投資家・連続起業家</x:v>
      </x:c>
      <x:c r="F37" s="86" t="n">
        <x:v>75</x:v>
      </x:c>
      <x:c r="G37" s="86" t="n">
        <x:v>75</x:v>
      </x:c>
      <x:c r="H37" s="86" t="n">
        <x:v>55</x:v>
      </x:c>
      <x:c r="I37" s="86" t="n">
        <x:v>500</x:v>
      </x:c>
      <x:c r="J37" s="109" t="n">
        <x:f>IF(D37="homemaker",I37,IF(I37=0,0,ROUND(I37*IF(30&lt;H37,MAX('共通設定'!$D$15,1-ABS(30-H37)*'共通設定'!$D$16),MAX('共通設定'!$D$17,1-(30-H37)*'共通設定'!$D$18)),0)))</x:f>
        <x:v>325</x:v>
      </x:c>
      <x:c r="K37" s="85" t="n">
        <x:v>0.045</x:v>
      </x:c>
      <x:c r="L37" s="112" t="n">
        <x:v>0.5</x:v>
      </x:c>
      <x:c r="M37" s="91" t="n">
        <x:f>L37*'容姿'!$D$5</x:f>
        <x:v>0.003</x:v>
      </x:c>
      <x:c r="N37" s="85" t="n">
        <x:v>0.06</x:v>
      </x:c>
      <x:c r="O37" s="85" t="n">
        <x:v>0.55</x:v>
      </x:c>
      <x:c r="P37" s="82" t="str">
        <x:v>VERY HIGH</x:v>
      </x:c>
      <x:c r="Q37" s="85" t="n">
        <x:v>0.14</x:v>
      </x:c>
      <x:c r="R37" s="85" t="n">
        <x:v>0.08</x:v>
      </x:c>
      <x:c r="S37" s="85" t="n">
        <x:v>0.02</x:v>
      </x:c>
      <x:c r="T37" s="85" t="n">
        <x:v>-0.04</x:v>
      </x:c>
      <x:c r="U37" s="85" t="n">
        <x:v>-0.08</x:v>
      </x:c>
      <x:c r="V37" s="85" t="n">
        <x:v>-0.14</x:v>
      </x:c>
      <x:c r="W37" s="86" t="str"/>
      <x:c r="X37" s="85" t="str"/>
      <x:c r="Y37" s="63" t="str">
        <x:v>※未上場資産は流動性が低く、希薄化リスクも大きいモデル</x:v>
      </x:c>
    </x:row>
    <x:row r="38" ht="36" customHeight="1">
      <x:c r="A38" s="94" t="n">
        <x:v>34</x:v>
      </x:c>
      <x:c r="B38" s="82" t="str">
        <x:v>経営・独立</x:v>
      </x:c>
      <x:c r="C38" s="82" t="str">
        <x:v>independent</x:v>
      </x:c>
      <x:c r="D38" s="82" t="str">
        <x:v>businessOwner</x:v>
      </x:c>
      <x:c r="E38" s="82" t="str">
        <x:v>安定事業の経営者・自営業</x:v>
      </x:c>
      <x:c r="F38" s="86" t="n">
        <x:v>70</x:v>
      </x:c>
      <x:c r="G38" s="86" t="n">
        <x:v>70</x:v>
      </x:c>
      <x:c r="H38" s="86" t="n">
        <x:v>55</x:v>
      </x:c>
      <x:c r="I38" s="86" t="n">
        <x:v>350</x:v>
      </x:c>
      <x:c r="J38" s="109" t="n">
        <x:f>IF(D38="homemaker",I38,IF(I38=0,0,ROUND(I38*IF(30&lt;H38,MAX('共通設定'!$D$15,1-ABS(30-H38)*'共通設定'!$D$16),MAX('共通設定'!$D$17,1-(30-H38)*'共通設定'!$D$18)),0)))</x:f>
        <x:v>228</x:v>
      </x:c>
      <x:c r="K38" s="85" t="n">
        <x:v>0.028</x:v>
      </x:c>
      <x:c r="L38" s="112" t="n">
        <x:v>1</x:v>
      </x:c>
      <x:c r="M38" s="91" t="n">
        <x:f>L38*'容姿'!$D$5</x:f>
        <x:v>0.006</x:v>
      </x:c>
      <x:c r="N38" s="85" t="n">
        <x:v>0.025</x:v>
      </x:c>
      <x:c r="O38" s="85" t="n">
        <x:v>0.65</x:v>
      </x:c>
      <x:c r="P38" s="82" t="str">
        <x:v>HIGH</x:v>
      </x:c>
      <x:c r="Q38" s="85" t="n">
        <x:v>0.075</x:v>
      </x:c>
      <x:c r="R38" s="85" t="n">
        <x:v>0.05</x:v>
      </x:c>
      <x:c r="S38" s="85" t="n">
        <x:v>0.015</x:v>
      </x:c>
      <x:c r="T38" s="85" t="n">
        <x:v>-0.015</x:v>
      </x:c>
      <x:c r="U38" s="85" t="n">
        <x:v>-0.05</x:v>
      </x:c>
      <x:c r="V38" s="85" t="n">
        <x:v>-0.08</x:v>
      </x:c>
      <x:c r="W38" s="86" t="str"/>
      <x:c r="X38" s="85" t="str"/>
      <x:c r="Y38" s="63" t="str"/>
    </x:row>
    <x:row r="39" ht="36" customHeight="1">
      <x:c r="A39" s="94" t="n">
        <x:v>35</x:v>
      </x:c>
      <x:c r="B39" s="82" t="str">
        <x:v>経営・独立</x:v>
      </x:c>
      <x:c r="C39" s="82" t="str">
        <x:v>independent</x:v>
      </x:c>
      <x:c r="D39" s="82" t="str">
        <x:v>freelancer</x:v>
      </x:c>
      <x:c r="E39" s="82" t="str">
        <x:v>高スキルフリーランス</x:v>
      </x:c>
      <x:c r="F39" s="86" t="n">
        <x:v>70</x:v>
      </x:c>
      <x:c r="G39" s="86" t="n">
        <x:v>67</x:v>
      </x:c>
      <x:c r="H39" s="86" t="n">
        <x:v>50</x:v>
      </x:c>
      <x:c r="I39" s="86" t="n">
        <x:v>350</x:v>
      </x:c>
      <x:c r="J39" s="109" t="n">
        <x:f>IF(D39="homemaker",I39,IF(I39=0,0,ROUND(I39*IF(30&lt;H39,MAX('共通設定'!$D$15,1-ABS(30-H39)*'共通設定'!$D$16),MAX('共通設定'!$D$17,1-(30-H39)*'共通設定'!$D$18)),0)))</x:f>
        <x:v>228</x:v>
      </x:c>
      <x:c r="K39" s="85" t="n">
        <x:v>0.03</x:v>
      </x:c>
      <x:c r="L39" s="112" t="n">
        <x:v>0.8</x:v>
      </x:c>
      <x:c r="M39" s="91" t="n">
        <x:f>L39*'容姿'!$D$5</x:f>
        <x:v>0.0048000000000000004</x:v>
      </x:c>
      <x:c r="N39" s="85" t="n">
        <x:v>0.025</x:v>
      </x:c>
      <x:c r="O39" s="85" t="n">
        <x:v>0.6</x:v>
      </x:c>
      <x:c r="P39" s="82" t="str">
        <x:v>HIGH</x:v>
      </x:c>
      <x:c r="Q39" s="85" t="n">
        <x:v>0.075</x:v>
      </x:c>
      <x:c r="R39" s="85" t="n">
        <x:v>0.05</x:v>
      </x:c>
      <x:c r="S39" s="85" t="n">
        <x:v>0.015</x:v>
      </x:c>
      <x:c r="T39" s="85" t="n">
        <x:v>-0.015</x:v>
      </x:c>
      <x:c r="U39" s="85" t="n">
        <x:v>-0.05</x:v>
      </x:c>
      <x:c r="V39" s="85" t="n">
        <x:v>-0.08</x:v>
      </x:c>
      <x:c r="W39" s="86" t="str"/>
      <x:c r="X39" s="85" t="str"/>
      <x:c r="Y39" s="63" t="str"/>
    </x:row>
    <x:row r="40" ht="36" customHeight="1">
      <x:c r="A40" s="94" t="n">
        <x:v>36</x:v>
      </x:c>
      <x:c r="B40" s="82" t="str">
        <x:v>経営・独立</x:v>
      </x:c>
      <x:c r="C40" s="82" t="str">
        <x:v>independent</x:v>
      </x:c>
      <x:c r="D40" s="82" t="str">
        <x:v>reseller</x:v>
      </x:c>
      <x:c r="E40" s="82" t="str">
        <x:v>転売ヤー・せどり</x:v>
      </x:c>
      <x:c r="F40" s="86" t="n">
        <x:v>70</x:v>
      </x:c>
      <x:c r="G40" s="86" t="n">
        <x:v>65</x:v>
      </x:c>
      <x:c r="H40" s="86" t="n">
        <x:v>42</x:v>
      </x:c>
      <x:c r="I40" s="86" t="n">
        <x:v>300</x:v>
      </x:c>
      <x:c r="J40" s="109" t="n">
        <x:f>IF(D40="homemaker",I40,IF(I40=0,0,ROUND(I40*IF(30&lt;H40,MAX('共通設定'!$D$15,1-ABS(30-H40)*'共通設定'!$D$16),MAX('共通設定'!$D$17,1-(30-H40)*'共通設定'!$D$18)),0)))</x:f>
        <x:v>228</x:v>
      </x:c>
      <x:c r="K40" s="85" t="n">
        <x:v>0.028</x:v>
      </x:c>
      <x:c r="L40" s="112" t="n">
        <x:v>0.3</x:v>
      </x:c>
      <x:c r="M40" s="91" t="n">
        <x:f>L40*'容姿'!$D$5</x:f>
        <x:v>0.0018</x:v>
      </x:c>
      <x:c r="N40" s="85" t="n">
        <x:v>0.1</x:v>
      </x:c>
      <x:c r="O40" s="85" t="n">
        <x:v>0.45</x:v>
      </x:c>
      <x:c r="P40" s="82" t="str">
        <x:v>EXTREME</x:v>
      </x:c>
      <x:c r="Q40" s="85" t="n">
        <x:v>0.12</x:v>
      </x:c>
      <x:c r="R40" s="85" t="n">
        <x:v>0.065</x:v>
      </x:c>
      <x:c r="S40" s="85" t="n">
        <x:v>-0.02</x:v>
      </x:c>
      <x:c r="T40" s="85" t="n">
        <x:v>-0.08</x:v>
      </x:c>
      <x:c r="U40" s="85" t="n">
        <x:v>-0.12</x:v>
      </x:c>
      <x:c r="V40" s="85" t="n">
        <x:v>-0.2</x:v>
      </x:c>
      <x:c r="W40" s="86" t="str"/>
      <x:c r="X40" s="85" t="str"/>
      <x:c r="Y40" s="63" t="str">
        <x:v>アカウントBAN・プラットフォーム規約変更による急落リスクを反映</x:v>
      </x:c>
    </x:row>
    <x:row r="41" ht="36" customHeight="1">
      <x:c r="A41" s="94" t="n">
        <x:v>37</x:v>
      </x:c>
      <x:c r="B41" s="82" t="str">
        <x:v>経営・独立</x:v>
      </x:c>
      <x:c r="C41" s="82" t="str">
        <x:v>independent</x:v>
      </x:c>
      <x:c r="D41" s="82" t="str">
        <x:v>farmerFisher</x:v>
      </x:c>
      <x:c r="E41" s="82" t="str">
        <x:v>農家・漁師</x:v>
      </x:c>
      <x:c r="F41" s="86" t="n">
        <x:v>75</x:v>
      </x:c>
      <x:c r="G41" s="86" t="n">
        <x:v>70</x:v>
      </x:c>
      <x:c r="H41" s="86" t="n">
        <x:v>55</x:v>
      </x:c>
      <x:c r="I41" s="86" t="n">
        <x:v>300</x:v>
      </x:c>
      <x:c r="J41" s="109" t="n">
        <x:f>IF(D41="homemaker",I41,IF(I41=0,0,ROUND(I41*IF(30&lt;H41,MAX('共通設定'!$D$15,1-ABS(30-H41)*'共通設定'!$D$16),MAX('共通設定'!$D$17,1-(30-H41)*'共通設定'!$D$18)),0)))</x:f>
        <x:v>195</x:v>
      </x:c>
      <x:c r="K41" s="85" t="n">
        <x:v>0.025</x:v>
      </x:c>
      <x:c r="L41" s="112" t="n">
        <x:v>0.3</x:v>
      </x:c>
      <x:c r="M41" s="91" t="n">
        <x:f>L41*'容姿'!$D$5</x:f>
        <x:v>0.0018</x:v>
      </x:c>
      <x:c r="N41" s="85" t="n">
        <x:v>0.035</x:v>
      </x:c>
      <x:c r="O41" s="85" t="n">
        <x:v>0.6</x:v>
      </x:c>
      <x:c r="P41" s="82" t="str">
        <x:v>HIGH</x:v>
      </x:c>
      <x:c r="Q41" s="85" t="n">
        <x:v>0.075</x:v>
      </x:c>
      <x:c r="R41" s="85" t="n">
        <x:v>0.05</x:v>
      </x:c>
      <x:c r="S41" s="85" t="n">
        <x:v>0.015</x:v>
      </x:c>
      <x:c r="T41" s="85" t="n">
        <x:v>-0.015</x:v>
      </x:c>
      <x:c r="U41" s="85" t="n">
        <x:v>-0.05</x:v>
      </x:c>
      <x:c r="V41" s="85" t="n">
        <x:v>-0.08</x:v>
      </x:c>
      <x:c r="W41" s="86" t="str"/>
      <x:c r="X41" s="85" t="str"/>
      <x:c r="Y41" s="63" t="str">
        <x:v>土地・船など事業資産を持つ一次産業モデル</x:v>
      </x:c>
    </x:row>
    <x:row r="42" ht="36" customHeight="1">
      <x:c r="A42" s="94" t="n">
        <x:v>38</x:v>
      </x:c>
      <x:c r="B42" s="82" t="str">
        <x:v>経営・独立</x:v>
      </x:c>
      <x:c r="C42" s="82" t="str">
        <x:v>independent</x:v>
      </x:c>
      <x:c r="D42" s="82" t="str">
        <x:v>monk</x:v>
      </x:c>
      <x:c r="E42" s="82" t="str">
        <x:v>僧侶・宗教家</x:v>
      </x:c>
      <x:c r="F42" s="86" t="n">
        <x:v>80</x:v>
      </x:c>
      <x:c r="G42" s="86" t="n">
        <x:v>80</x:v>
      </x:c>
      <x:c r="H42" s="86" t="n">
        <x:v>60</x:v>
      </x:c>
      <x:c r="I42" s="86" t="n">
        <x:v>250</x:v>
      </x:c>
      <x:c r="J42" s="109" t="n">
        <x:f>IF(D42="homemaker",I42,IF(I42=0,0,ROUND(I42*IF(30&lt;H42,MAX('共通設定'!$D$15,1-ABS(30-H42)*'共通設定'!$D$16),MAX('共通設定'!$D$17,1-(30-H42)*'共通設定'!$D$18)),0)))</x:f>
        <x:v>163</x:v>
      </x:c>
      <x:c r="K42" s="85" t="n">
        <x:v>0.024</x:v>
      </x:c>
      <x:c r="L42" s="112" t="n">
        <x:v>0.5</x:v>
      </x:c>
      <x:c r="M42" s="91" t="n">
        <x:f>L42*'容姿'!$D$5</x:f>
        <x:v>0.003</x:v>
      </x:c>
      <x:c r="N42" s="85" t="n">
        <x:v>0.015</x:v>
      </x:c>
      <x:c r="O42" s="85" t="n">
        <x:v>0.7</x:v>
      </x:c>
      <x:c r="P42" s="82" t="str">
        <x:v>MID-LOW</x:v>
      </x:c>
      <x:c r="Q42" s="85" t="n">
        <x:v>0.045</x:v>
      </x:c>
      <x:c r="R42" s="85" t="n">
        <x:v>0.03</x:v>
      </x:c>
      <x:c r="S42" s="85" t="n">
        <x:v>0.01</x:v>
      </x:c>
      <x:c r="T42" s="85" t="n">
        <x:v>-0.005</x:v>
      </x:c>
      <x:c r="U42" s="85" t="n">
        <x:v>-0.03</x:v>
      </x:c>
      <x:c r="V42" s="85" t="n">
        <x:v>-0.05</x:v>
      </x:c>
      <x:c r="W42" s="86" t="str"/>
      <x:c r="X42" s="85" t="str"/>
      <x:c r="Y42" s="63" t="str"/>
    </x:row>
    <x:row r="43" ht="36" customHeight="1">
      <x:c r="A43" s="94" t="n">
        <x:v>39</x:v>
      </x:c>
      <x:c r="B43" s="82" t="str">
        <x:v>経営・独立</x:v>
      </x:c>
      <x:c r="C43" s="82" t="str">
        <x:v>independent</x:v>
      </x:c>
      <x:c r="D43" s="82" t="str">
        <x:v>politician</x:v>
      </x:c>
      <x:c r="E43" s="82" t="str">
        <x:v>政治家</x:v>
      </x:c>
      <x:c r="F43" s="86" t="n">
        <x:v>100</x:v>
      </x:c>
      <x:c r="G43" s="86" t="n">
        <x:v>100</x:v>
      </x:c>
      <x:c r="H43" s="86" t="n">
        <x:v>60</x:v>
      </x:c>
      <x:c r="I43" s="86" t="n">
        <x:v>600</x:v>
      </x:c>
      <x:c r="J43" s="109" t="n">
        <x:f>IF(D43="homemaker",I43,IF(I43=0,0,ROUND(I43*IF(30&lt;H43,MAX('共通設定'!$D$15,1-ABS(30-H43)*'共通設定'!$D$16),MAX('共通設定'!$D$17,1-(30-H43)*'共通設定'!$D$18)),0)))</x:f>
        <x:v>390</x:v>
      </x:c>
      <x:c r="K43" s="85" t="n">
        <x:v>0.03</x:v>
      </x:c>
      <x:c r="L43" s="112" t="n">
        <x:v>1.2</x:v>
      </x:c>
      <x:c r="M43" s="91" t="n">
        <x:f>L43*'容姿'!$D$5</x:f>
        <x:v>0.0072</x:v>
      </x:c>
      <x:c r="N43" s="85" t="n">
        <x:v>0.15</x:v>
      </x:c>
      <x:c r="O43" s="85" t="n">
        <x:v>0.4</x:v>
      </x:c>
      <x:c r="P43" s="82" t="str">
        <x:v>EXTREME</x:v>
      </x:c>
      <x:c r="Q43" s="85" t="n">
        <x:v>0.3</x:v>
      </x:c>
      <x:c r="R43" s="85" t="n">
        <x:v>0.15</x:v>
      </x:c>
      <x:c r="S43" s="85" t="n">
        <x:v>-0.1</x:v>
      </x:c>
      <x:c r="T43" s="85" t="n">
        <x:v>-0.25</x:v>
      </x:c>
      <x:c r="U43" s="85" t="n">
        <x:v>-0.3</x:v>
      </x:c>
      <x:c r="V43" s="85" t="n">
        <x:v>-0.45</x:v>
      </x:c>
      <x:c r="W43" s="86" t="str"/>
      <x:c r="X43" s="85" t="str"/>
      <x:c r="Y43" s="63" t="str">
        <x:v>引退年齢なし・落選リスク極大</x:v>
      </x:c>
    </x:row>
    <x:row r="44" ht="36" customHeight="1">
      <x:c r="A44" s="94" t="n">
        <x:v>40</x:v>
      </x:c>
      <x:c r="B44" s="82" t="str">
        <x:v>芸能・スポーツ</x:v>
      </x:c>
      <x:c r="C44" s="82" t="str">
        <x:v>entertainment</x:v>
      </x:c>
      <x:c r="D44" s="82" t="str">
        <x:v>entertainment</x:v>
      </x:c>
      <x:c r="E44" s="82" t="str">
        <x:v>俳優・タレント・音楽家</x:v>
      </x:c>
      <x:c r="F44" s="86" t="n">
        <x:v>65</x:v>
      </x:c>
      <x:c r="G44" s="86" t="n">
        <x:v>55</x:v>
      </x:c>
      <x:c r="H44" s="86" t="n">
        <x:v>35</x:v>
      </x:c>
      <x:c r="I44" s="86" t="n">
        <x:v>240</x:v>
      </x:c>
      <x:c r="J44" s="109" t="n">
        <x:f>IF(D44="homemaker",I44,IF(I44=0,0,ROUND(I44*IF(30&lt;H44,MAX('共通設定'!$D$15,1-ABS(30-H44)*'共通設定'!$D$16),MAX('共通設定'!$D$17,1-(30-H44)*'共通設定'!$D$18)),0)))</x:f>
        <x:v>216</x:v>
      </x:c>
      <x:c r="K44" s="85" t="n">
        <x:v>0.025</x:v>
      </x:c>
      <x:c r="L44" s="112" t="n">
        <x:v>2</x:v>
      </x:c>
      <x:c r="M44" s="91" t="n">
        <x:f>L44*'容姿'!$D$5</x:f>
        <x:v>0.012</x:v>
      </x:c>
      <x:c r="N44" s="85" t="n">
        <x:v>0.07</x:v>
      </x:c>
      <x:c r="O44" s="85" t="n">
        <x:v>0.45</x:v>
      </x:c>
      <x:c r="P44" s="82" t="str">
        <x:v>EXTREME</x:v>
      </x:c>
      <x:c r="Q44" s="85" t="n">
        <x:v>0.18</x:v>
      </x:c>
      <x:c r="R44" s="85" t="n">
        <x:v>0.1</x:v>
      </x:c>
      <x:c r="S44" s="85" t="n">
        <x:v>-0.03</x:v>
      </x:c>
      <x:c r="T44" s="85" t="n">
        <x:v>-0.12</x:v>
      </x:c>
      <x:c r="U44" s="85" t="n">
        <x:v>-0.18</x:v>
      </x:c>
      <x:c r="V44" s="85" t="n">
        <x:v>-0.28</x:v>
      </x:c>
      <x:c r="W44" s="86" t="str"/>
      <x:c r="X44" s="85" t="str"/>
      <x:c r="Y44" s="63" t="str"/>
    </x:row>
    <x:row r="45" ht="36" customHeight="1">
      <x:c r="A45" s="94" t="n">
        <x:v>41</x:v>
      </x:c>
      <x:c r="B45" s="82" t="str">
        <x:v>芸能・スポーツ</x:v>
      </x:c>
      <x:c r="C45" s="82" t="str">
        <x:v>entertainment</x:v>
      </x:c>
      <x:c r="D45" s="82" t="str">
        <x:v>influencer</x:v>
      </x:c>
      <x:c r="E45" s="82" t="str">
        <x:v>YouTuber・配信者・VTuber</x:v>
      </x:c>
      <x:c r="F45" s="86" t="n">
        <x:v>65</x:v>
      </x:c>
      <x:c r="G45" s="86" t="n">
        <x:v>50</x:v>
      </x:c>
      <x:c r="H45" s="86" t="n">
        <x:v>32</x:v>
      </x:c>
      <x:c r="I45" s="86" t="n">
        <x:v>200</x:v>
      </x:c>
      <x:c r="J45" s="109" t="n">
        <x:f>IF(D45="homemaker",I45,IF(I45=0,0,ROUND(I45*IF(30&lt;H45,MAX('共通設定'!$D$15,1-ABS(30-H45)*'共通設定'!$D$16),MAX('共通設定'!$D$17,1-(30-H45)*'共通設定'!$D$18)),0)))</x:f>
        <x:v>192</x:v>
      </x:c>
      <x:c r="K45" s="85" t="n">
        <x:v>0.028</x:v>
      </x:c>
      <x:c r="L45" s="112" t="n">
        <x:v>1.6</x:v>
      </x:c>
      <x:c r="M45" s="91" t="n">
        <x:f>L45*'容姿'!$D$5</x:f>
        <x:v>0.009600000000000001</x:v>
      </x:c>
      <x:c r="N45" s="85" t="n">
        <x:v>0.08</x:v>
      </x:c>
      <x:c r="O45" s="85" t="n">
        <x:v>0.4</x:v>
      </x:c>
      <x:c r="P45" s="82" t="str">
        <x:v>EXTREME</x:v>
      </x:c>
      <x:c r="Q45" s="85" t="n">
        <x:v>0.22</x:v>
      </x:c>
      <x:c r="R45" s="85" t="n">
        <x:v>0.12</x:v>
      </x:c>
      <x:c r="S45" s="85" t="n">
        <x:v>-0.08</x:v>
      </x:c>
      <x:c r="T45" s="85" t="n">
        <x:v>-0.16</x:v>
      </x:c>
      <x:c r="U45" s="85" t="n">
        <x:v>-0.22</x:v>
      </x:c>
      <x:c r="V45" s="85" t="n">
        <x:v>-0.32</x:v>
      </x:c>
      <x:c r="W45" s="86" t="str"/>
      <x:c r="X45" s="85" t="str"/>
      <x:c r="Y45" s="63" t="str">
        <x:v>この査定、ぜひ動画や配信のネタにしてね！</x:v>
      </x:c>
    </x:row>
    <x:row r="46" ht="36" customHeight="1">
      <x:c r="A46" s="94" t="n">
        <x:v>42</x:v>
      </x:c>
      <x:c r="B46" s="82" t="str">
        <x:v>芸能・スポーツ</x:v>
      </x:c>
      <x:c r="C46" s="82" t="str">
        <x:v>entertainment</x:v>
      </x:c>
      <x:c r="D46" s="82" t="str">
        <x:v>athlete</x:v>
      </x:c>
      <x:c r="E46" s="82" t="str">
        <x:v>プロスポーツ選手</x:v>
      </x:c>
      <x:c r="F46" s="86" t="n">
        <x:v>65</x:v>
      </x:c>
      <x:c r="G46" s="86" t="n">
        <x:v>40</x:v>
      </x:c>
      <x:c r="H46" s="86" t="n">
        <x:v>29</x:v>
      </x:c>
      <x:c r="I46" s="86" t="n">
        <x:v>400</x:v>
      </x:c>
      <x:c r="J46" s="109" t="n">
        <x:f>IF(D46="homemaker",I46,IF(I46=0,0,ROUND(I46*IF(30&lt;H46,MAX('共通設定'!$D$15,1-ABS(30-H46)*'共通設定'!$D$16),MAX('共通設定'!$D$17,1-(30-H46)*'共通設定'!$D$18)),0)))</x:f>
        <x:v>390</x:v>
      </x:c>
      <x:c r="K46" s="85" t="n">
        <x:v>0.025</x:v>
      </x:c>
      <x:c r="L46" s="112" t="n">
        <x:v>1</x:v>
      </x:c>
      <x:c r="M46" s="91" t="n">
        <x:f>L46*'容姿'!$D$5</x:f>
        <x:v>0.006</x:v>
      </x:c>
      <x:c r="N46" s="85" t="n">
        <x:v>0.05</x:v>
      </x:c>
      <x:c r="O46" s="85" t="n">
        <x:v>0.55</x:v>
      </x:c>
      <x:c r="P46" s="82" t="str">
        <x:v>EXTREME</x:v>
      </x:c>
      <x:c r="Q46" s="85" t="n">
        <x:v>0.2</x:v>
      </x:c>
      <x:c r="R46" s="85" t="n">
        <x:v>0.1</x:v>
      </x:c>
      <x:c r="S46" s="85" t="n">
        <x:v>-0.05</x:v>
      </x:c>
      <x:c r="T46" s="85" t="n">
        <x:v>-0.15</x:v>
      </x:c>
      <x:c r="U46" s="85" t="n">
        <x:v>-0.25</x:v>
      </x:c>
      <x:c r="V46" s="85" t="n">
        <x:v>-0.38</x:v>
      </x:c>
      <x:c r="W46" s="86" t="str"/>
      <x:c r="X46" s="85" t="str"/>
      <x:c r="Y46" s="63" t="str"/>
    </x:row>
    <x:row r="47" ht="36" customHeight="1">
      <x:c r="A47" s="94" t="n">
        <x:v>43</x:v>
      </x:c>
      <x:c r="B47" s="82" t="str">
        <x:v>芸能・スポーツ</x:v>
      </x:c>
      <x:c r="C47" s="82" t="str">
        <x:v>entertainment</x:v>
      </x:c>
      <x:c r="D47" s="82" t="str">
        <x:v>proGamer</x:v>
      </x:c>
      <x:c r="E47" s="82" t="str">
        <x:v>プロゲーマー・eスポーツ</x:v>
      </x:c>
      <x:c r="F47" s="86" t="n">
        <x:v>60</x:v>
      </x:c>
      <x:c r="G47" s="86" t="n">
        <x:v>38</x:v>
      </x:c>
      <x:c r="H47" s="86" t="n">
        <x:v>26</x:v>
      </x:c>
      <x:c r="I47" s="86" t="n">
        <x:v>200</x:v>
      </x:c>
      <x:c r="J47" s="109" t="n">
        <x:f>IF(D47="homemaker",I47,IF(I47=0,0,ROUND(I47*IF(30&lt;H47,MAX('共通設定'!$D$15,1-ABS(30-H47)*'共通設定'!$D$16),MAX('共通設定'!$D$17,1-(30-H47)*'共通設定'!$D$18)),0)))</x:f>
        <x:v>180</x:v>
      </x:c>
      <x:c r="K47" s="85" t="n">
        <x:v>0.026</x:v>
      </x:c>
      <x:c r="L47" s="112" t="n">
        <x:v>0.5</x:v>
      </x:c>
      <x:c r="M47" s="91" t="n">
        <x:f>L47*'容姿'!$D$5</x:f>
        <x:v>0.003</x:v>
      </x:c>
      <x:c r="N47" s="85" t="n">
        <x:v>0.1</x:v>
      </x:c>
      <x:c r="O47" s="85" t="n">
        <x:v>0.35</x:v>
      </x:c>
      <x:c r="P47" s="82" t="str">
        <x:v>EXTREME</x:v>
      </x:c>
      <x:c r="Q47" s="85" t="n">
        <x:v>0.2</x:v>
      </x:c>
      <x:c r="R47" s="85" t="n">
        <x:v>0.1</x:v>
      </x:c>
      <x:c r="S47" s="85" t="n">
        <x:v>-0.05</x:v>
      </x:c>
      <x:c r="T47" s="85" t="n">
        <x:v>-0.15</x:v>
      </x:c>
      <x:c r="U47" s="85" t="n">
        <x:v>-0.25</x:v>
      </x:c>
      <x:c r="V47" s="85" t="n">
        <x:v>-0.38</x:v>
      </x:c>
      <x:c r="W47" s="86" t="str"/>
      <x:c r="X47" s="85" t="str"/>
      <x:c r="Y47" s="63" t="str"/>
    </x:row>
    <x:row r="48" ht="36" customHeight="1">
      <x:c r="A48" s="94" t="n">
        <x:v>44</x:v>
      </x:c>
      <x:c r="B48" s="82" t="str">
        <x:v>芸能・スポーツ</x:v>
      </x:c>
      <x:c r="C48" s="82" t="str">
        <x:v>entertainment</x:v>
      </x:c>
      <x:c r="D48" s="82" t="str">
        <x:v>comedian</x:v>
      </x:c>
      <x:c r="E48" s="82" t="str">
        <x:v>お笑い芸人</x:v>
      </x:c>
      <x:c r="F48" s="86" t="n">
        <x:v>70</x:v>
      </x:c>
      <x:c r="G48" s="86" t="n">
        <x:v>60</x:v>
      </x:c>
      <x:c r="H48" s="86" t="n">
        <x:v>42</x:v>
      </x:c>
      <x:c r="I48" s="86" t="n">
        <x:v>120</x:v>
      </x:c>
      <x:c r="J48" s="109" t="n">
        <x:f>IF(D48="homemaker",I48,IF(I48=0,0,ROUND(I48*IF(30&lt;H48,MAX('共通設定'!$D$15,1-ABS(30-H48)*'共通設定'!$D$16),MAX('共通設定'!$D$17,1-(30-H48)*'共通設定'!$D$18)),0)))</x:f>
        <x:v>91</x:v>
      </x:c>
      <x:c r="K48" s="85" t="n">
        <x:v>0.02</x:v>
      </x:c>
      <x:c r="L48" s="112" t="n">
        <x:v>1.8</x:v>
      </x:c>
      <x:c r="M48" s="91" t="n">
        <x:f>L48*'容姿'!$D$5</x:f>
        <x:v>0.0108</x:v>
      </x:c>
      <x:c r="N48" s="85" t="n">
        <x:v>0.1</x:v>
      </x:c>
      <x:c r="O48" s="85" t="n">
        <x:v>0.35</x:v>
      </x:c>
      <x:c r="P48" s="82" t="str">
        <x:v>EXTREME</x:v>
      </x:c>
      <x:c r="Q48" s="85" t="n">
        <x:v>0.3</x:v>
      </x:c>
      <x:c r="R48" s="85" t="n">
        <x:v>0.15</x:v>
      </x:c>
      <x:c r="S48" s="85" t="n">
        <x:v>-0.1</x:v>
      </x:c>
      <x:c r="T48" s="85" t="n">
        <x:v>-0.25</x:v>
      </x:c>
      <x:c r="U48" s="85" t="n">
        <x:v>-0.3</x:v>
      </x:c>
      <x:c r="V48" s="85" t="n">
        <x:v>-0.45</x:v>
      </x:c>
      <x:c r="W48" s="86" t="str"/>
      <x:c r="X48" s="85" t="str"/>
      <x:c r="Y48" s="63" t="str">
        <x:v>売れるまで低収入、当たれば急騰の極端モデル</x:v>
      </x:c>
    </x:row>
    <x:row r="49" ht="36" customHeight="1">
      <x:c r="A49" s="94" t="n">
        <x:v>45</x:v>
      </x:c>
      <x:c r="B49" s="82" t="str">
        <x:v>芸能・スポーツ</x:v>
      </x:c>
      <x:c r="C49" s="82" t="str">
        <x:v>entertainment</x:v>
      </x:c>
      <x:c r="D49" s="82" t="str">
        <x:v>voiceActor</x:v>
      </x:c>
      <x:c r="E49" s="82" t="str">
        <x:v>声優</x:v>
      </x:c>
      <x:c r="F49" s="86" t="n">
        <x:v>70</x:v>
      </x:c>
      <x:c r="G49" s="86" t="n">
        <x:v>60</x:v>
      </x:c>
      <x:c r="H49" s="86" t="n">
        <x:v>40</x:v>
      </x:c>
      <x:c r="I49" s="86" t="n">
        <x:v>180</x:v>
      </x:c>
      <x:c r="J49" s="109" t="n">
        <x:f>IF(D49="homemaker",I49,IF(I49=0,0,ROUND(I49*IF(30&lt;H49,MAX('共通設定'!$D$15,1-ABS(30-H49)*'共通設定'!$D$16),MAX('共通設定'!$D$17,1-(30-H49)*'共通設定'!$D$18)),0)))</x:f>
        <x:v>144</x:v>
      </x:c>
      <x:c r="K49" s="85" t="n">
        <x:v>0.023</x:v>
      </x:c>
      <x:c r="L49" s="112" t="n">
        <x:v>2</x:v>
      </x:c>
      <x:c r="M49" s="91" t="n">
        <x:f>L49*'容姿'!$D$5</x:f>
        <x:v>0.012</x:v>
      </x:c>
      <x:c r="N49" s="85" t="n">
        <x:v>0.07</x:v>
      </x:c>
      <x:c r="O49" s="85" t="n">
        <x:v>0.45</x:v>
      </x:c>
      <x:c r="P49" s="82" t="str">
        <x:v>EXTREME</x:v>
      </x:c>
      <x:c r="Q49" s="85" t="n">
        <x:v>0.18</x:v>
      </x:c>
      <x:c r="R49" s="85" t="n">
        <x:v>0.1</x:v>
      </x:c>
      <x:c r="S49" s="85" t="n">
        <x:v>-0.03</x:v>
      </x:c>
      <x:c r="T49" s="85" t="n">
        <x:v>-0.12</x:v>
      </x:c>
      <x:c r="U49" s="85" t="n">
        <x:v>-0.18</x:v>
      </x:c>
      <x:c r="V49" s="85" t="n">
        <x:v>-0.28</x:v>
      </x:c>
      <x:c r="W49" s="86" t="str"/>
      <x:c r="X49" s="85" t="str"/>
      <x:c r="Y49" s="63" t="str"/>
    </x:row>
    <x:row r="50" ht="36" customHeight="1">
      <x:c r="A50" s="94" t="n">
        <x:v>46</x:v>
      </x:c>
      <x:c r="B50" s="82" t="str">
        <x:v>芸能・スポーツ</x:v>
      </x:c>
      <x:c r="C50" s="82" t="str">
        <x:v>entertainment</x:v>
      </x:c>
      <x:c r="D50" s="82" t="str">
        <x:v>boatCycleRacer</x:v>
      </x:c>
      <x:c r="E50" s="82" t="str">
        <x:v>競艇・競輪選手</x:v>
      </x:c>
      <x:c r="F50" s="86" t="n">
        <x:v>60</x:v>
      </x:c>
      <x:c r="G50" s="86" t="n">
        <x:v>45</x:v>
      </x:c>
      <x:c r="H50" s="86" t="n">
        <x:v>32</x:v>
      </x:c>
      <x:c r="I50" s="86" t="n">
        <x:v>600</x:v>
      </x:c>
      <x:c r="J50" s="109" t="n">
        <x:f>IF(D50="homemaker",I50,IF(I50=0,0,ROUND(I50*IF(30&lt;H50,MAX('共通設定'!$D$15,1-ABS(30-H50)*'共通設定'!$D$16),MAX('共通設定'!$D$17,1-(30-H50)*'共通設定'!$D$18)),0)))</x:f>
        <x:v>576</x:v>
      </x:c>
      <x:c r="K50" s="85" t="n">
        <x:v>0.03</x:v>
      </x:c>
      <x:c r="L50" s="112" t="n">
        <x:v>0.4</x:v>
      </x:c>
      <x:c r="M50" s="91" t="n">
        <x:f>L50*'容姿'!$D$5</x:f>
        <x:v>0.0024000000000000002</x:v>
      </x:c>
      <x:c r="N50" s="85" t="n">
        <x:v>0.06</x:v>
      </x:c>
      <x:c r="O50" s="85" t="n">
        <x:v>0.55</x:v>
      </x:c>
      <x:c r="P50" s="82" t="str">
        <x:v>VERY HIGH</x:v>
      </x:c>
      <x:c r="Q50" s="85" t="n">
        <x:v>0.2</x:v>
      </x:c>
      <x:c r="R50" s="85" t="n">
        <x:v>0.1</x:v>
      </x:c>
      <x:c r="S50" s="85" t="n">
        <x:v>-0.05</x:v>
      </x:c>
      <x:c r="T50" s="85" t="n">
        <x:v>-0.15</x:v>
      </x:c>
      <x:c r="U50" s="85" t="n">
        <x:v>-0.25</x:v>
      </x:c>
      <x:c r="V50" s="85" t="n">
        <x:v>-0.38</x:v>
      </x:c>
      <x:c r="W50" s="86" t="str"/>
      <x:c r="X50" s="85" t="str"/>
      <x:c r="Y50" s="63" t="str">
        <x:v>知られざる高収入アスリート枠</x:v>
      </x:c>
    </x:row>
    <x:row r="51" ht="36" customHeight="1">
      <x:c r="A51" s="94" t="n">
        <x:v>47</x:v>
      </x:c>
      <x:c r="B51" s="82" t="str">
        <x:v>芸能・スポーツ</x:v>
      </x:c>
      <x:c r="C51" s="82" t="str">
        <x:v>entertainment</x:v>
      </x:c>
      <x:c r="D51" s="82" t="str">
        <x:v>boardGamePro</x:v>
      </x:c>
      <x:c r="E51" s="82" t="str">
        <x:v>プロ棋士・プロ雀士</x:v>
      </x:c>
      <x:c r="F51" s="86" t="n">
        <x:v>75</x:v>
      </x:c>
      <x:c r="G51" s="86" t="n">
        <x:v>70</x:v>
      </x:c>
      <x:c r="H51" s="86" t="n">
        <x:v>50</x:v>
      </x:c>
      <x:c r="I51" s="86" t="n">
        <x:v>300</x:v>
      </x:c>
      <x:c r="J51" s="109" t="n">
        <x:f>IF(D51="homemaker",I51,IF(I51=0,0,ROUND(I51*IF(30&lt;H51,MAX('共通設定'!$D$15,1-ABS(30-H51)*'共通設定'!$D$16),MAX('共通設定'!$D$17,1-(30-H51)*'共通設定'!$D$18)),0)))</x:f>
        <x:v>195</x:v>
      </x:c>
      <x:c r="K51" s="85" t="n">
        <x:v>0.03</x:v>
      </x:c>
      <x:c r="L51" s="112" t="n">
        <x:v>0.2</x:v>
      </x:c>
      <x:c r="M51" s="91" t="n">
        <x:f>L51*'容姿'!$D$5</x:f>
        <x:v>0.0012000000000000001</x:v>
      </x:c>
      <x:c r="N51" s="85" t="n">
        <x:v>0.045</x:v>
      </x:c>
      <x:c r="O51" s="85" t="n">
        <x:v>0.55</x:v>
      </x:c>
      <x:c r="P51" s="82" t="str">
        <x:v>VERY HIGH</x:v>
      </x:c>
      <x:c r="Q51" s="85" t="n">
        <x:v>0.075</x:v>
      </x:c>
      <x:c r="R51" s="85" t="n">
        <x:v>0.05</x:v>
      </x:c>
      <x:c r="S51" s="85" t="n">
        <x:v>0.015</x:v>
      </x:c>
      <x:c r="T51" s="85" t="n">
        <x:v>-0.015</x:v>
      </x:c>
      <x:c r="U51" s="85" t="n">
        <x:v>-0.05</x:v>
      </x:c>
      <x:c r="V51" s="85" t="n">
        <x:v>-0.08</x:v>
      </x:c>
      <x:c r="W51" s="86" t="str"/>
      <x:c r="X51" s="85" t="str"/>
      <x:c r="Y51" s="63" t="str"/>
    </x:row>
    <x:row r="52" ht="36" customHeight="1">
      <x:c r="A52" s="94" t="n">
        <x:v>48</x:v>
      </x:c>
      <x:c r="B52" s="82" t="str">
        <x:v>芸能・スポーツ</x:v>
      </x:c>
      <x:c r="C52" s="82" t="str">
        <x:v>entertainment</x:v>
      </x:c>
      <x:c r="D52" s="82" t="str">
        <x:v>sumo</x:v>
      </x:c>
      <x:c r="E52" s="82" t="str">
        <x:v>力士</x:v>
      </x:c>
      <x:c r="F52" s="86" t="n">
        <x:v>65</x:v>
      </x:c>
      <x:c r="G52" s="86" t="n">
        <x:v>35</x:v>
      </x:c>
      <x:c r="H52" s="86" t="n">
        <x:v>27</x:v>
      </x:c>
      <x:c r="I52" s="86" t="n">
        <x:v>300</x:v>
      </x:c>
      <x:c r="J52" s="109" t="n">
        <x:f>IF(D52="homemaker",I52,IF(I52=0,0,ROUND(I52*IF(30&lt;H52,MAX('共通設定'!$D$15,1-ABS(30-H52)*'共通設定'!$D$16),MAX('共通設定'!$D$17,1-(30-H52)*'共通設定'!$D$18)),0)))</x:f>
        <x:v>278</x:v>
      </x:c>
      <x:c r="K52" s="85" t="n">
        <x:v>0.022</x:v>
      </x:c>
      <x:c r="L52" s="112" t="n">
        <x:v>0.5</x:v>
      </x:c>
      <x:c r="M52" s="91" t="n">
        <x:f>L52*'容姿'!$D$5</x:f>
        <x:v>0.003</x:v>
      </x:c>
      <x:c r="N52" s="85" t="n">
        <x:v>0.12</x:v>
      </x:c>
      <x:c r="O52" s="85" t="n">
        <x:v>0.35</x:v>
      </x:c>
      <x:c r="P52" s="82" t="str">
        <x:v>EXTREME</x:v>
      </x:c>
      <x:c r="Q52" s="85" t="n">
        <x:v>0.2</x:v>
      </x:c>
      <x:c r="R52" s="85" t="n">
        <x:v>0.1</x:v>
      </x:c>
      <x:c r="S52" s="85" t="n">
        <x:v>-0.05</x:v>
      </x:c>
      <x:c r="T52" s="85" t="n">
        <x:v>-0.15</x:v>
      </x:c>
      <x:c r="U52" s="85" t="n">
        <x:v>-0.25</x:v>
      </x:c>
      <x:c r="V52" s="85" t="n">
        <x:v>-0.38</x:v>
      </x:c>
      <x:c r="W52" s="86" t="str"/>
      <x:c r="X52" s="85" t="str"/>
      <x:c r="Y52" s="63" t="str">
        <x:v>番付ピラミッドと早期引退を反映</x:v>
      </x:c>
    </x:row>
    <x:row r="53" ht="36" customHeight="1">
      <x:c r="A53" s="94" t="n">
        <x:v>49</x:v>
      </x:c>
      <x:c r="B53" s="82" t="str">
        <x:v>芸能・スポーツ</x:v>
      </x:c>
      <x:c r="C53" s="82" t="str">
        <x:v>entertainment</x:v>
      </x:c>
      <x:c r="D53" s="82" t="str">
        <x:v>traditionalActor</x:v>
      </x:c>
      <x:c r="E53" s="82" t="str">
        <x:v>歌舞伎役者・伝統芸能</x:v>
      </x:c>
      <x:c r="F53" s="86" t="n">
        <x:v>80</x:v>
      </x:c>
      <x:c r="G53" s="86" t="n">
        <x:v>75</x:v>
      </x:c>
      <x:c r="H53" s="86" t="n">
        <x:v>55</x:v>
      </x:c>
      <x:c r="I53" s="86" t="n">
        <x:v>400</x:v>
      </x:c>
      <x:c r="J53" s="109" t="n">
        <x:f>IF(D53="homemaker",I53,IF(I53=0,0,ROUND(I53*IF(30&lt;H53,MAX('共通設定'!$D$15,1-ABS(30-H53)*'共通設定'!$D$16),MAX('共通設定'!$D$17,1-(30-H53)*'共通設定'!$D$18)),0)))</x:f>
        <x:v>260</x:v>
      </x:c>
      <x:c r="K53" s="85" t="n">
        <x:v>0.028</x:v>
      </x:c>
      <x:c r="L53" s="112" t="n">
        <x:v>2</x:v>
      </x:c>
      <x:c r="M53" s="91" t="n">
        <x:f>L53*'容姿'!$D$5</x:f>
        <x:v>0.012</x:v>
      </x:c>
      <x:c r="N53" s="85" t="n">
        <x:v>0.03</x:v>
      </x:c>
      <x:c r="O53" s="85" t="n">
        <x:v>0.65</x:v>
      </x:c>
      <x:c r="P53" s="82" t="str">
        <x:v>HIGH</x:v>
      </x:c>
      <x:c r="Q53" s="85" t="n">
        <x:v>0.18</x:v>
      </x:c>
      <x:c r="R53" s="85" t="n">
        <x:v>0.1</x:v>
      </x:c>
      <x:c r="S53" s="85" t="n">
        <x:v>-0.03</x:v>
      </x:c>
      <x:c r="T53" s="85" t="n">
        <x:v>-0.12</x:v>
      </x:c>
      <x:c r="U53" s="85" t="n">
        <x:v>-0.18</x:v>
      </x:c>
      <x:c r="V53" s="85" t="n">
        <x:v>-0.28</x:v>
      </x:c>
      <x:c r="W53" s="86" t="str"/>
      <x:c r="X53" s="85" t="str"/>
      <x:c r="Y53" s="63" t="str">
        <x:v>世襲・家柄プレミアムを含む特殊モデル</x:v>
      </x:c>
    </x:row>
    <x:row r="54" ht="36" customHeight="1">
      <x:c r="A54" s="94" t="n">
        <x:v>50</x:v>
      </x:c>
      <x:c r="B54" s="82" t="str">
        <x:v>夜職</x:v>
      </x:c>
      <x:c r="C54" s="82" t="str">
        <x:v>nightlife</x:v>
      </x:c>
      <x:c r="D54" s="82" t="str">
        <x:v>host</x:v>
      </x:c>
      <x:c r="E54" s="82" t="str">
        <x:v>ホスト</x:v>
      </x:c>
      <x:c r="F54" s="86" t="n">
        <x:v>65</x:v>
      </x:c>
      <x:c r="G54" s="86" t="n">
        <x:v>45</x:v>
      </x:c>
      <x:c r="H54" s="86" t="n">
        <x:v>30</x:v>
      </x:c>
      <x:c r="I54" s="86" t="n">
        <x:v>300</x:v>
      </x:c>
      <x:c r="J54" s="109" t="n">
        <x:f>IF(D54="homemaker",I54,IF(I54=0,0,ROUND(I54*IF(30&lt;H54,MAX('共通設定'!$D$15,1-ABS(30-H54)*'共通設定'!$D$16),MAX('共通設定'!$D$17,1-(30-H54)*'共通設定'!$D$18)),0)))</x:f>
        <x:v>300</x:v>
      </x:c>
      <x:c r="K54" s="85" t="n">
        <x:v>0.018</x:v>
      </x:c>
      <x:c r="L54" s="112" t="n">
        <x:v>8</x:v>
      </x:c>
      <x:c r="M54" s="91" t="n">
        <x:f>L54*'容姿'!$D$5</x:f>
        <x:v>0.048</x:v>
      </x:c>
      <x:c r="N54" s="85" t="n">
        <x:v>0.08</x:v>
      </x:c>
      <x:c r="O54" s="85" t="n">
        <x:v>0.45</x:v>
      </x:c>
      <x:c r="P54" s="82" t="str">
        <x:v>EXTREME</x:v>
      </x:c>
      <x:c r="Q54" s="85" t="n">
        <x:v>0.18</x:v>
      </x:c>
      <x:c r="R54" s="85" t="n">
        <x:v>0.09</x:v>
      </x:c>
      <x:c r="S54" s="85" t="n">
        <x:v>-0.04</x:v>
      </x:c>
      <x:c r="T54" s="85" t="n">
        <x:v>-0.12</x:v>
      </x:c>
      <x:c r="U54" s="85" t="n">
        <x:v>-0.18</x:v>
      </x:c>
      <x:c r="V54" s="85" t="n">
        <x:v>-0.28</x:v>
      </x:c>
      <x:c r="W54" s="86" t="str"/>
      <x:c r="X54" s="85" t="str"/>
      <x:c r="Y54" s="63" t="str"/>
    </x:row>
    <x:row r="55" ht="36" customHeight="1">
      <x:c r="A55" s="94" t="n">
        <x:v>51</x:v>
      </x:c>
      <x:c r="B55" s="82" t="str">
        <x:v>夜職</x:v>
      </x:c>
      <x:c r="C55" s="82" t="str">
        <x:v>nightlife</x:v>
      </x:c>
      <x:c r="D55" s="82" t="str">
        <x:v>hostess</x:v>
      </x:c>
      <x:c r="E55" s="82" t="str">
        <x:v>ラウンジ嬢・ホステス・キャバクラ</x:v>
      </x:c>
      <x:c r="F55" s="86" t="n">
        <x:v>65</x:v>
      </x:c>
      <x:c r="G55" s="86" t="n">
        <x:v>45</x:v>
      </x:c>
      <x:c r="H55" s="86" t="n">
        <x:v>28</x:v>
      </x:c>
      <x:c r="I55" s="86" t="n">
        <x:v>300</x:v>
      </x:c>
      <x:c r="J55" s="109" t="n">
        <x:f>IF(D55="homemaker",I55,IF(I55=0,0,ROUND(I55*IF(30&lt;H55,MAX('共通設定'!$D$15,1-ABS(30-H55)*'共通設定'!$D$16),MAX('共通設定'!$D$17,1-(30-H55)*'共通設定'!$D$18)),0)))</x:f>
        <x:v>285</x:v>
      </x:c>
      <x:c r="K55" s="85" t="n">
        <x:v>0.018</x:v>
      </x:c>
      <x:c r="L55" s="112" t="n">
        <x:v>8</x:v>
      </x:c>
      <x:c r="M55" s="91" t="n">
        <x:f>L55*'容姿'!$D$5</x:f>
        <x:v>0.048</x:v>
      </x:c>
      <x:c r="N55" s="85" t="n">
        <x:v>0.07</x:v>
      </x:c>
      <x:c r="O55" s="85" t="n">
        <x:v>0.45</x:v>
      </x:c>
      <x:c r="P55" s="82" t="str">
        <x:v>EXTREME</x:v>
      </x:c>
      <x:c r="Q55" s="85" t="n">
        <x:v>0.18</x:v>
      </x:c>
      <x:c r="R55" s="85" t="n">
        <x:v>0.09</x:v>
      </x:c>
      <x:c r="S55" s="85" t="n">
        <x:v>-0.04</x:v>
      </x:c>
      <x:c r="T55" s="85" t="n">
        <x:v>-0.12</x:v>
      </x:c>
      <x:c r="U55" s="85" t="n">
        <x:v>-0.18</x:v>
      </x:c>
      <x:c r="V55" s="85" t="n">
        <x:v>-0.28</x:v>
      </x:c>
      <x:c r="W55" s="86" t="str"/>
      <x:c r="X55" s="85" t="str"/>
      <x:c r="Y55" s="63" t="str">
        <x:v>売上はシャンパンと太客の気分次第。夜の市場は寄り付きから値動き激しめ</x:v>
      </x:c>
    </x:row>
    <x:row r="56" ht="36" customHeight="1">
      <x:c r="A56" s="94" t="n">
        <x:v>52</x:v>
      </x:c>
      <x:c r="B56" s="82" t="str">
        <x:v>夜職</x:v>
      </x:c>
      <x:c r="C56" s="82" t="str">
        <x:v>nightlife</x:v>
      </x:c>
      <x:c r="D56" s="82" t="str">
        <x:v>sexWorker</x:v>
      </x:c>
      <x:c r="E56" s="82" t="str">
        <x:v>風俗</x:v>
      </x:c>
      <x:c r="F56" s="86" t="n">
        <x:v>65</x:v>
      </x:c>
      <x:c r="G56" s="86" t="n">
        <x:v>42</x:v>
      </x:c>
      <x:c r="H56" s="86" t="n">
        <x:v>27</x:v>
      </x:c>
      <x:c r="I56" s="86" t="n">
        <x:v>350</x:v>
      </x:c>
      <x:c r="J56" s="109" t="n">
        <x:f>IF(D56="homemaker",I56,IF(I56=0,0,ROUND(I56*IF(30&lt;H56,MAX('共通設定'!$D$15,1-ABS(30-H56)*'共通設定'!$D$16),MAX('共通設定'!$D$17,1-(30-H56)*'共通設定'!$D$18)),0)))</x:f>
        <x:v>324</x:v>
      </x:c>
      <x:c r="K56" s="85" t="n">
        <x:v>0.018</x:v>
      </x:c>
      <x:c r="L56" s="112" t="n">
        <x:v>10</x:v>
      </x:c>
      <x:c r="M56" s="91" t="n">
        <x:f>L56*'容姿'!$D$5</x:f>
        <x:v>0.06</x:v>
      </x:c>
      <x:c r="N56" s="85" t="n">
        <x:v>0.1</x:v>
      </x:c>
      <x:c r="O56" s="85" t="n">
        <x:v>0.4</x:v>
      </x:c>
      <x:c r="P56" s="82" t="str">
        <x:v>EXTREME</x:v>
      </x:c>
      <x:c r="Q56" s="85" t="n">
        <x:v>0.18</x:v>
      </x:c>
      <x:c r="R56" s="85" t="n">
        <x:v>0.09</x:v>
      </x:c>
      <x:c r="S56" s="85" t="n">
        <x:v>-0.04</x:v>
      </x:c>
      <x:c r="T56" s="85" t="n">
        <x:v>-0.12</x:v>
      </x:c>
      <x:c r="U56" s="85" t="n">
        <x:v>-0.18</x:v>
      </x:c>
      <x:c r="V56" s="85" t="n">
        <x:v>-0.28</x:v>
      </x:c>
      <x:c r="W56" s="86" t="str"/>
      <x:c r="X56" s="85" t="str"/>
      <x:c r="Y56" s="63" t="str"/>
    </x:row>
    <x:row r="57" ht="36" customHeight="1">
      <x:c r="A57" s="94" t="n">
        <x:v>53</x:v>
      </x:c>
      <x:c r="B57" s="82" t="str">
        <x:v>夜職</x:v>
      </x:c>
      <x:c r="C57" s="82" t="str">
        <x:v>nightlife</x:v>
      </x:c>
      <x:c r="D57" s="82" t="str">
        <x:v>nightlifeFreelance</x:v>
      </x:c>
      <x:c r="E57" s="82" t="str">
        <x:v>港区フリーランス</x:v>
      </x:c>
      <x:c r="F57" s="86" t="n">
        <x:v>65</x:v>
      </x:c>
      <x:c r="G57" s="86" t="n">
        <x:v>40</x:v>
      </x:c>
      <x:c r="H57" s="86" t="n">
        <x:v>26</x:v>
      </x:c>
      <x:c r="I57" s="86" t="n">
        <x:v>280</x:v>
      </x:c>
      <x:c r="J57" s="109" t="n">
        <x:f>IF(D57="homemaker",I57,IF(I57=0,0,ROUND(I57*IF(30&lt;H57,MAX('共通設定'!$D$15,1-ABS(30-H57)*'共通設定'!$D$16),MAX('共通設定'!$D$17,1-(30-H57)*'共通設定'!$D$18)),0)))</x:f>
        <x:v>252</x:v>
      </x:c>
      <x:c r="K57" s="85" t="n">
        <x:v>0.016</x:v>
      </x:c>
      <x:c r="L57" s="112" t="n">
        <x:v>9</x:v>
      </x:c>
      <x:c r="M57" s="91" t="n">
        <x:f>L57*'容姿'!$D$5</x:f>
        <x:v>0.054</x:v>
      </x:c>
      <x:c r="N57" s="85" t="n">
        <x:v>0.12</x:v>
      </x:c>
      <x:c r="O57" s="85" t="n">
        <x:v>0.35</x:v>
      </x:c>
      <x:c r="P57" s="82" t="str">
        <x:v>EXTREME</x:v>
      </x:c>
      <x:c r="Q57" s="85" t="n">
        <x:v>0.18</x:v>
      </x:c>
      <x:c r="R57" s="85" t="n">
        <x:v>0.09</x:v>
      </x:c>
      <x:c r="S57" s="85" t="n">
        <x:v>-0.04</x:v>
      </x:c>
      <x:c r="T57" s="85" t="n">
        <x:v>-0.12</x:v>
      </x:c>
      <x:c r="U57" s="85" t="n">
        <x:v>-0.18</x:v>
      </x:c>
      <x:c r="V57" s="85" t="n">
        <x:v>-0.28</x:v>
      </x:c>
      <x:c r="W57" s="86" t="str"/>
      <x:c r="X57" s="85" t="str"/>
      <x:c r="Y57" s="63" t="str"/>
    </x:row>
    <x:row r="58" ht="36" customHeight="1">
      <x:c r="A58" s="94" t="n">
        <x:v>54</x:v>
      </x:c>
      <x:c r="B58" s="82" t="str">
        <x:v>夜職</x:v>
      </x:c>
      <x:c r="C58" s="82" t="str">
        <x:v>nightlife</x:v>
      </x:c>
      <x:c r="D58" s="82" t="str">
        <x:v>clubOwner</x:v>
      </x:c>
      <x:c r="E58" s="82" t="str">
        <x:v>クラブママ・夜職経営</x:v>
      </x:c>
      <x:c r="F58" s="86" t="n">
        <x:v>70</x:v>
      </x:c>
      <x:c r="G58" s="86" t="n">
        <x:v>70</x:v>
      </x:c>
      <x:c r="H58" s="86" t="n">
        <x:v>52</x:v>
      </x:c>
      <x:c r="I58" s="86" t="n">
        <x:v>500</x:v>
      </x:c>
      <x:c r="J58" s="109" t="n">
        <x:f>IF(D58="homemaker",I58,IF(I58=0,0,ROUND(I58*IF(30&lt;H58,MAX('共通設定'!$D$15,1-ABS(30-H58)*'共通設定'!$D$16),MAX('共通設定'!$D$17,1-(30-H58)*'共通設定'!$D$18)),0)))</x:f>
        <x:v>325</x:v>
      </x:c>
      <x:c r="K58" s="85" t="n">
        <x:v>0.022</x:v>
      </x:c>
      <x:c r="L58" s="112" t="n">
        <x:v>4</x:v>
      </x:c>
      <x:c r="M58" s="91" t="n">
        <x:f>L58*'容姿'!$D$5</x:f>
        <x:v>0.024</x:v>
      </x:c>
      <x:c r="N58" s="85" t="n">
        <x:v>0.04</x:v>
      </x:c>
      <x:c r="O58" s="85" t="n">
        <x:v>0.55</x:v>
      </x:c>
      <x:c r="P58" s="82" t="str">
        <x:v>HIGH</x:v>
      </x:c>
      <x:c r="Q58" s="85" t="n">
        <x:v>0.075</x:v>
      </x:c>
      <x:c r="R58" s="85" t="n">
        <x:v>0.05</x:v>
      </x:c>
      <x:c r="S58" s="85" t="n">
        <x:v>0.015</x:v>
      </x:c>
      <x:c r="T58" s="85" t="n">
        <x:v>-0.015</x:v>
      </x:c>
      <x:c r="U58" s="85" t="n">
        <x:v>-0.05</x:v>
      </x:c>
      <x:c r="V58" s="85" t="n">
        <x:v>-0.08</x:v>
      </x:c>
      <x:c r="W58" s="86" t="str"/>
      <x:c r="X58" s="85" t="str"/>
      <x:c r="Y58" s="63" t="str"/>
    </x:row>
    <x:row r="59" ht="36" customHeight="1">
      <x:c r="A59" s="94" t="n">
        <x:v>55</x:v>
      </x:c>
      <x:c r="B59" s="82" t="str">
        <x:v>ギャンブルプロ</x:v>
      </x:c>
      <x:c r="C59" s="82" t="str">
        <x:v>gambling</x:v>
      </x:c>
      <x:c r="D59" s="82" t="str">
        <x:v>pokerLive</x:v>
      </x:c>
      <x:c r="E59" s="82" t="str">
        <x:v>ポーカー専業（ライブ）</x:v>
      </x:c>
      <x:c r="F59" s="86" t="n">
        <x:v>65</x:v>
      </x:c>
      <x:c r="G59" s="86" t="n">
        <x:v>55</x:v>
      </x:c>
      <x:c r="H59" s="86" t="n">
        <x:v>38</x:v>
      </x:c>
      <x:c r="I59" s="86" t="n">
        <x:v>350</x:v>
      </x:c>
      <x:c r="J59" s="109" t="n">
        <x:f>IF(D59="homemaker",I59,IF(I59=0,0,ROUND(I59*IF(30&lt;H59,MAX('共通設定'!$D$15,1-ABS(30-H59)*'共通設定'!$D$16),MAX('共通設定'!$D$17,1-(30-H59)*'共通設定'!$D$18)),0)))</x:f>
        <x:v>294</x:v>
      </x:c>
      <x:c r="K59" s="85" t="n">
        <x:v>0.045</x:v>
      </x:c>
      <x:c r="L59" s="112" t="n">
        <x:v>0.2</x:v>
      </x:c>
      <x:c r="M59" s="91" t="n">
        <x:f>L59*'容姿'!$D$5</x:f>
        <x:v>0.0012000000000000001</x:v>
      </x:c>
      <x:c r="N59" s="85" t="n">
        <x:v>0.09</x:v>
      </x:c>
      <x:c r="O59" s="85" t="n">
        <x:v>0.4</x:v>
      </x:c>
      <x:c r="P59" s="82" t="str">
        <x:v>EXTREME</x:v>
      </x:c>
      <x:c r="Q59" s="85" t="n">
        <x:v>0.12</x:v>
      </x:c>
      <x:c r="R59" s="85" t="n">
        <x:v>0.065</x:v>
      </x:c>
      <x:c r="S59" s="85" t="n">
        <x:v>-0.02</x:v>
      </x:c>
      <x:c r="T59" s="85" t="n">
        <x:v>-0.08</x:v>
      </x:c>
      <x:c r="U59" s="85" t="n">
        <x:v>-0.12</x:v>
      </x:c>
      <x:c r="V59" s="85" t="n">
        <x:v>-0.2</x:v>
      </x:c>
      <x:c r="W59" s="86" t="str"/>
      <x:c r="X59" s="85" t="str"/>
      <x:c r="Y59" s="63" t="str">
        <x:v>EVの見積もり違いと遠征費で、バンクロール崩壊の警告が点灯します</x:v>
      </x:c>
    </x:row>
    <x:row r="60" ht="36" customHeight="1">
      <x:c r="A60" s="94" t="n">
        <x:v>56</x:v>
      </x:c>
      <x:c r="B60" s="82" t="str">
        <x:v>ギャンブルプロ</x:v>
      </x:c>
      <x:c r="C60" s="82" t="str">
        <x:v>gambling</x:v>
      </x:c>
      <x:c r="D60" s="82" t="str">
        <x:v>pokerOnline</x:v>
      </x:c>
      <x:c r="E60" s="82" t="str">
        <x:v>ポーカー専業（オンライン）</x:v>
      </x:c>
      <x:c r="F60" s="86" t="n">
        <x:v>65</x:v>
      </x:c>
      <x:c r="G60" s="86" t="n">
        <x:v>55</x:v>
      </x:c>
      <x:c r="H60" s="86" t="n">
        <x:v>35</x:v>
      </x:c>
      <x:c r="I60" s="86" t="n">
        <x:v>350</x:v>
      </x:c>
      <x:c r="J60" s="109" t="n">
        <x:f>IF(D60="homemaker",I60,IF(I60=0,0,ROUND(I60*IF(30&lt;H60,MAX('共通設定'!$D$15,1-ABS(30-H60)*'共通設定'!$D$16),MAX('共通設定'!$D$17,1-(30-H60)*'共通設定'!$D$18)),0)))</x:f>
        <x:v>315</x:v>
      </x:c>
      <x:c r="K60" s="85" t="n">
        <x:v>0.047</x:v>
      </x:c>
      <x:c r="L60" s="112" t="n">
        <x:v>0.1</x:v>
      </x:c>
      <x:c r="M60" s="91" t="n">
        <x:f>L60*'容姿'!$D$5</x:f>
        <x:v>0.0006000000000000001</x:v>
      </x:c>
      <x:c r="N60" s="85" t="n">
        <x:v>0.11</x:v>
      </x:c>
      <x:c r="O60" s="85" t="n">
        <x:v>0.4</x:v>
      </x:c>
      <x:c r="P60" s="82" t="str">
        <x:v>EXTREME</x:v>
      </x:c>
      <x:c r="Q60" s="85" t="n">
        <x:v>0.12</x:v>
      </x:c>
      <x:c r="R60" s="85" t="n">
        <x:v>0.065</x:v>
      </x:c>
      <x:c r="S60" s="85" t="n">
        <x:v>-0.02</x:v>
      </x:c>
      <x:c r="T60" s="85" t="n">
        <x:v>-0.08</x:v>
      </x:c>
      <x:c r="U60" s="85" t="n">
        <x:v>-0.12</x:v>
      </x:c>
      <x:c r="V60" s="85" t="n">
        <x:v>-0.2</x:v>
      </x:c>
      <x:c r="W60" s="86" t="str"/>
      <x:c r="X60" s="85" t="str"/>
      <x:c r="Y60" s="63" t="str">
        <x:v>レーキ・規約変更・アカウント停止を含むバンクロール変動モデル</x:v>
      </x:c>
    </x:row>
    <x:row r="61" ht="36" customHeight="1">
      <x:c r="A61" s="94" t="n">
        <x:v>57</x:v>
      </x:c>
      <x:c r="B61" s="82" t="str">
        <x:v>ギャンブルプロ</x:v>
      </x:c>
      <x:c r="C61" s="82" t="str">
        <x:v>gambling</x:v>
      </x:c>
      <x:c r="D61" s="82" t="str">
        <x:v>slotProfessional</x:v>
      </x:c>
      <x:c r="E61" s="82" t="str">
        <x:v>スロット専業</x:v>
      </x:c>
      <x:c r="F61" s="86" t="n">
        <x:v>60</x:v>
      </x:c>
      <x:c r="G61" s="86" t="n">
        <x:v>50</x:v>
      </x:c>
      <x:c r="H61" s="86" t="n">
        <x:v>35</x:v>
      </x:c>
      <x:c r="I61" s="86" t="n">
        <x:v>300</x:v>
      </x:c>
      <x:c r="J61" s="109" t="n">
        <x:f>IF(D61="homemaker",I61,IF(I61=0,0,ROUND(I61*IF(30&lt;H61,MAX('共通設定'!$D$15,1-ABS(30-H61)*'共通設定'!$D$16),MAX('共通設定'!$D$17,1-(30-H61)*'共通設定'!$D$18)),0)))</x:f>
        <x:v>270</x:v>
      </x:c>
      <x:c r="K61" s="85" t="n">
        <x:v>0.035</x:v>
      </x:c>
      <x:c r="L61" s="112" t="n">
        <x:v>0.1</x:v>
      </x:c>
      <x:c r="M61" s="91" t="n">
        <x:f>L61*'容姿'!$D$5</x:f>
        <x:v>0.0006000000000000001</x:v>
      </x:c>
      <x:c r="N61" s="85" t="n">
        <x:v>0.12</x:v>
      </x:c>
      <x:c r="O61" s="85" t="n">
        <x:v>0.35</x:v>
      </x:c>
      <x:c r="P61" s="82" t="str">
        <x:v>EXTREME</x:v>
      </x:c>
      <x:c r="Q61" s="85" t="n">
        <x:v>0.12</x:v>
      </x:c>
      <x:c r="R61" s="85" t="n">
        <x:v>0.065</x:v>
      </x:c>
      <x:c r="S61" s="85" t="n">
        <x:v>-0.02</x:v>
      </x:c>
      <x:c r="T61" s="85" t="n">
        <x:v>-0.08</x:v>
      </x:c>
      <x:c r="U61" s="85" t="n">
        <x:v>-0.12</x:v>
      </x:c>
      <x:c r="V61" s="85" t="n">
        <x:v>-0.2</x:v>
      </x:c>
      <x:c r="W61" s="86" t="str"/>
      <x:c r="X61" s="85" t="str"/>
      <x:c r="Y61" s="63" t="str">
        <x:v>設定読みと期待値が外れると、バンクロールは静かに崩壊します</x:v>
      </x:c>
    </x:row>
    <x:row r="62" ht="36" customHeight="1">
      <x:c r="A62" s="94" t="n">
        <x:v>58</x:v>
      </x:c>
      <x:c r="B62" s="82" t="str">
        <x:v>ギャンブルプロ</x:v>
      </x:c>
      <x:c r="C62" s="82" t="str">
        <x:v>gambling</x:v>
      </x:c>
      <x:c r="D62" s="82" t="str">
        <x:v>professionalGambler</x:v>
      </x:c>
      <x:c r="E62" s="82" t="str">
        <x:v>プロギャンブラー（競馬・スポーツベット等）</x:v>
      </x:c>
      <x:c r="F62" s="86" t="n">
        <x:v>65</x:v>
      </x:c>
      <x:c r="G62" s="86" t="n">
        <x:v>55</x:v>
      </x:c>
      <x:c r="H62" s="86" t="n">
        <x:v>38</x:v>
      </x:c>
      <x:c r="I62" s="86" t="n">
        <x:v>300</x:v>
      </x:c>
      <x:c r="J62" s="109" t="n">
        <x:f>IF(D62="homemaker",I62,IF(I62=0,0,ROUND(I62*IF(30&lt;H62,MAX('共通設定'!$D$15,1-ABS(30-H62)*'共通設定'!$D$16),MAX('共通設定'!$D$17,1-(30-H62)*'共通設定'!$D$18)),0)))</x:f>
        <x:v>252</x:v>
      </x:c>
      <x:c r="K62" s="85" t="n">
        <x:v>0.037</x:v>
      </x:c>
      <x:c r="L62" s="112" t="n">
        <x:v>0.1</x:v>
      </x:c>
      <x:c r="M62" s="91" t="n">
        <x:f>L62*'容姿'!$D$5</x:f>
        <x:v>0.0006000000000000001</x:v>
      </x:c>
      <x:c r="N62" s="85" t="n">
        <x:v>0.085</x:v>
      </x:c>
      <x:c r="O62" s="85" t="n">
        <x:v>0.4</x:v>
      </x:c>
      <x:c r="P62" s="82" t="str">
        <x:v>EXTREME</x:v>
      </x:c>
      <x:c r="Q62" s="85" t="n">
        <x:v>0.12</x:v>
      </x:c>
      <x:c r="R62" s="85" t="n">
        <x:v>0.065</x:v>
      </x:c>
      <x:c r="S62" s="85" t="n">
        <x:v>-0.02</x:v>
      </x:c>
      <x:c r="T62" s="85" t="n">
        <x:v>-0.08</x:v>
      </x:c>
      <x:c r="U62" s="85" t="n">
        <x:v>-0.12</x:v>
      </x:c>
      <x:c r="V62" s="85" t="n">
        <x:v>-0.2</x:v>
      </x:c>
      <x:c r="W62" s="86" t="str"/>
      <x:c r="X62" s="85" t="str"/>
      <x:c r="Y62" s="63" t="str"/>
    </x:row>
    <x:row r="63" ht="36" customHeight="1">
      <x:c r="A63" s="94" t="n">
        <x:v>59</x:v>
      </x:c>
      <x:c r="B63" s="82" t="str">
        <x:v>生活・無業</x:v>
      </x:c>
      <x:c r="C63" s="82" t="str">
        <x:v>lifestyle</x:v>
      </x:c>
      <x:c r="D63" s="82" t="str">
        <x:v>homemaker</x:v>
      </x:c>
      <x:c r="E63" s="82" t="str">
        <x:v>専業主婦・主夫</x:v>
      </x:c>
      <x:c r="F63" s="86" t="n">
        <x:v>75</x:v>
      </x:c>
      <x:c r="G63" s="86" t="n">
        <x:v>75</x:v>
      </x:c>
      <x:c r="H63" s="86" t="n">
        <x:v>55</x:v>
      </x:c>
      <x:c r="I63" s="86" t="n">
        <x:v>350</x:v>
      </x:c>
      <x:c r="J63" s="109" t="n">
        <x:f>IF(D63="homemaker",I63,IF(I63=0,0,ROUND(I63*IF(30&lt;H63,MAX('共通設定'!$D$15,1-ABS(30-H63)*'共通設定'!$D$16),MAX('共通設定'!$D$17,1-(30-H63)*'共通設定'!$D$18)),0)))</x:f>
        <x:v>350</x:v>
      </x:c>
      <x:c r="K63" s="85" t="n">
        <x:v>0.02</x:v>
      </x:c>
      <x:c r="L63" s="112" t="n">
        <x:v>0.4</x:v>
      </x:c>
      <x:c r="M63" s="91" t="n">
        <x:f>L63*'容姿'!$D$5</x:f>
        <x:v>0.0024000000000000002</x:v>
      </x:c>
      <x:c r="N63" s="85" t="n">
        <x:v>0.01</x:v>
      </x:c>
      <x:c r="O63" s="85" t="n">
        <x:v>0.65</x:v>
      </x:c>
      <x:c r="P63" s="82" t="str">
        <x:v>LOW</x:v>
      </x:c>
      <x:c r="Q63" s="85" t="n">
        <x:v>0.045</x:v>
      </x:c>
      <x:c r="R63" s="85" t="n">
        <x:v>0.03</x:v>
      </x:c>
      <x:c r="S63" s="85" t="n">
        <x:v>0.01</x:v>
      </x:c>
      <x:c r="T63" s="85" t="n">
        <x:v>-0.005</x:v>
      </x:c>
      <x:c r="U63" s="85" t="n">
        <x:v>-0.03</x:v>
      </x:c>
      <x:c r="V63" s="85" t="n">
        <x:v>-0.05</x:v>
      </x:c>
      <x:c r="W63" s="86" t="str"/>
      <x:c r="X63" s="85" t="str"/>
      <x:c r="Y63" s="63" t="str">
        <x:v>本人の家事労働を市場価値へ換算。配偶者の収入・与信は含めません</x:v>
      </x:c>
    </x:row>
    <x:row r="64" ht="36" customHeight="1">
      <x:c r="A64" s="95" t="n">
        <x:v>60</x:v>
      </x:c>
      <x:c r="B64" s="83" t="str">
        <x:v>生活・無業</x:v>
      </x:c>
      <x:c r="C64" s="83" t="str">
        <x:v>lifestyle</x:v>
      </x:c>
      <x:c r="D64" s="83" t="str">
        <x:v>unemployed</x:v>
      </x:c>
      <x:c r="E64" s="83" t="str">
        <x:v>無職・ニート</x:v>
      </x:c>
      <x:c r="F64" s="97" t="n">
        <x:v>65</x:v>
      </x:c>
      <x:c r="G64" s="97" t="n">
        <x:v>65</x:v>
      </x:c>
      <x:c r="H64" s="97" t="n">
        <x:v>35</x:v>
      </x:c>
      <x:c r="I64" s="97" t="n">
        <x:v>0</x:v>
      </x:c>
      <x:c r="J64" s="110" t="n">
        <x:f>IF(D64="homemaker",I64,IF(I64=0,0,ROUND(I64*IF(30&lt;H64,MAX('共通設定'!$D$15,1-ABS(30-H64)*'共通設定'!$D$16),MAX('共通設定'!$D$17,1-(30-H64)*'共通設定'!$D$18)),0)))</x:f>
        <x:v>0</x:v>
      </x:c>
      <x:c r="K64" s="98" t="n">
        <x:v>0.01</x:v>
      </x:c>
      <x:c r="L64" s="113" t="n">
        <x:v>0</x:v>
      </x:c>
      <x:c r="M64" s="92" t="n">
        <x:f>L64*'容姿'!$D$5</x:f>
        <x:v>0</x:v>
      </x:c>
      <x:c r="N64" s="98" t="n">
        <x:v>0.1</x:v>
      </x:c>
      <x:c r="O64" s="98" t="n">
        <x:v>0.3</x:v>
      </x:c>
      <x:c r="P64" s="83" t="str">
        <x:v>EXTREME</x:v>
      </x:c>
      <x:c r="Q64" s="98" t="n">
        <x:v>0</x:v>
      </x:c>
      <x:c r="R64" s="98" t="n">
        <x:v>0</x:v>
      </x:c>
      <x:c r="S64" s="98" t="n">
        <x:v>0</x:v>
      </x:c>
      <x:c r="T64" s="98" t="n">
        <x:v>0</x:v>
      </x:c>
      <x:c r="U64" s="98" t="n">
        <x:v>0</x:v>
      </x:c>
      <x:c r="V64" s="98" t="n">
        <x:v>0</x:v>
      </x:c>
      <x:c r="W64" s="97" t="str"/>
      <x:c r="X64" s="98" t="str"/>
      <x:c r="Y64" s="65" t="str">
        <x:v>収入0円でも資産運用分は時価総額に反映</x:v>
      </x:c>
    </x:row>
  </x:sheetData>
  <x:mergeCells>
    <x:mergeCell ref="A1:Y1"/>
    <x:mergeCell ref="A2:Y2"/>
  </x:mergeCells>
  <x:pageMargins left="0.7" right="0.7" top="0.75" bottom="0.75" header="0.3" footer="0.3"/>
  <x:tableParts count="1">
    <x:tablePart xmlns:r="http://schemas.openxmlformats.org/officeDocument/2006/relationships" r:id="Rcbcd756d87aa4a66"/>
  </x:tableParts>
</x:worksheet>
</file>

<file path=xl/worksheets/sheet6.xml><?xml version="1.0" encoding="utf-8"?>
<x:worksheet xmlns:x="http://schemas.openxmlformats.org/spreadsheetml/2006/main">
  <x:sheetFormatPr defaultRowHeight="15"/>
  <x:cols>
    <x:col min="1" max="1" width="11" hidden="0" customWidth="1"/>
    <x:col min="2" max="2" width="38" hidden="0" customWidth="1"/>
    <x:col min="3" max="3" width="20" hidden="0" customWidth="1"/>
    <x:col min="4" max="4" width="21" hidden="0" customWidth="1"/>
    <x:col min="5" max="5" width="14" hidden="0" customWidth="1"/>
    <x:col min="6" max="6" width="14" hidden="0" customWidth="1"/>
    <x:col min="7" max="7" width="13" hidden="0" customWidth="1"/>
    <x:col min="8" max="8" width="39" hidden="0" customWidth="1"/>
    <x:col min="9" max="9" width="41" hidden="0" customWidth="1"/>
    <x:col min="10" max="10" width="38" hidden="0" customWidth="1"/>
  </x:cols>
  <x:sheetData>
    <x:row r="1" ht="34" customHeight="1">
      <x:c r="A1" s="3" t="str">
        <x:v>入力仕様（9問）</x:v>
      </x:c>
      <x:c r="B1" s="3"/>
      <x:c r="C1" s="3"/>
      <x:c r="D1" s="3"/>
      <x:c r="E1" s="3"/>
      <x:c r="F1" s="3"/>
      <x:c r="G1" s="3"/>
      <x:c r="H1" s="3"/>
      <x:c r="I1" s="3"/>
      <x:c r="J1" s="3"/>
    </x:row>
    <x:row r="2" ht="30" customHeight="1">
      <x:c r="A2" s="7" t="str">
        <x:v>現在のフォーム初期値・入力範囲・計算への影響。第7問には不動産とその他資産の2入力があります。</x:v>
      </x:c>
      <x:c r="B2" s="7"/>
      <x:c r="C2" s="7"/>
      <x:c r="D2" s="7"/>
      <x:c r="E2" s="7"/>
      <x:c r="F2" s="7"/>
      <x:c r="G2" s="7"/>
      <x:c r="H2" s="7"/>
      <x:c r="I2" s="7"/>
      <x:c r="J2" s="7"/>
    </x:row>
    <x:row r="4" ht="34" customHeight="1">
      <x:c r="A4" s="18" t="str">
        <x:v>質問No.</x:v>
      </x:c>
      <x:c r="B4" s="19" t="str">
        <x:v>項目</x:v>
      </x:c>
      <x:c r="C4" s="19" t="str">
        <x:v>形式</x:v>
      </x:c>
      <x:c r="D4" s="19" t="str">
        <x:v>初期値</x:v>
      </x:c>
      <x:c r="E4" s="19" t="str">
        <x:v>最小</x:v>
      </x:c>
      <x:c r="F4" s="19" t="str">
        <x:v>最大</x:v>
      </x:c>
      <x:c r="G4" s="19" t="str">
        <x:v>単位</x:v>
      </x:c>
      <x:c r="H4" s="19" t="str">
        <x:v>計算への影響</x:v>
      </x:c>
      <x:c r="I4" s="19" t="str">
        <x:v>備考</x:v>
      </x:c>
      <x:c r="J4" s="20" t="str">
        <x:v>ソース</x:v>
      </x:c>
    </x:row>
    <x:row r="5" ht="44" customHeight="1">
      <x:c r="A5" s="93" t="n">
        <x:v>1</x:v>
      </x:c>
      <x:c r="B5" s="40" t="str">
        <x:v>現在の年齢</x:v>
      </x:c>
      <x:c r="C5" s="81" t="str">
        <x:v>整数</x:v>
      </x:c>
      <x:c r="D5" s="96" t="n">
        <x:v>30</x:v>
      </x:c>
      <x:c r="E5" s="96" t="n">
        <x:v>18</x:v>
      </x:c>
      <x:c r="F5" s="96" t="n">
        <x:v>80</x:v>
      </x:c>
      <x:c r="G5" s="81" t="str">
        <x:v>歳</x:v>
      </x:c>
      <x:c r="H5" s="60" t="str">
        <x:v>残余就労年数・基準年収・転職後基準</x:v>
      </x:c>
      <x:c r="I5" s="60" t="str">
        <x:v>職業別引退年齢まで</x:v>
      </x:c>
      <x:c r="J5" s="61" t="str">
        <x:v>HumanMarketCapApp.tsx / api/valuation/route.ts</x:v>
      </x:c>
    </x:row>
    <x:row r="6" ht="44" customHeight="1">
      <x:c r="A6" s="94" t="n">
        <x:v>2</x:v>
      </x:c>
      <x:c r="B6" s="43" t="str">
        <x:v>現在の年収</x:v>
      </x:c>
      <x:c r="C6" s="82" t="str">
        <x:v>数値</x:v>
      </x:c>
      <x:c r="D6" s="86" t="n">
        <x:v>600</x:v>
      </x:c>
      <x:c r="E6" s="86" t="n">
        <x:v>0</x:v>
      </x:c>
      <x:c r="F6" s="86" t="n">
        <x:v>100000</x:v>
      </x:c>
      <x:c r="G6" s="82" t="str">
        <x:v>万円/年</x:v>
      </x:c>
      <x:c r="H6" s="62" t="str">
        <x:v>初年度年収・将来年収の起点</x:v>
      </x:c>
      <x:c r="I6" s="62" t="str">
        <x:v>極端に低い場合も翌年以降は職業別基準へ回復</x:v>
      </x:c>
      <x:c r="J6" s="63" t="str">
        <x:v>同上</x:v>
      </x:c>
    </x:row>
    <x:row r="7" ht="44" customHeight="1">
      <x:c r="A7" s="94" t="n">
        <x:v>3</x:v>
      </x:c>
      <x:c r="B7" s="43" t="str">
        <x:v>最終学歴</x:v>
      </x:c>
      <x:c r="C7" s="82" t="str">
        <x:v>15択</x:v>
      </x:c>
      <x:c r="D7" s="86" t="str">
        <x:v>大学卒（その他）</x:v>
      </x:c>
      <x:c r="E7" s="86" t="str"/>
      <x:c r="F7" s="86" t="str"/>
      <x:c r="G7" s="82" t="str">
        <x:v>—</x:v>
      </x:c>
      <x:c r="H7" s="62" t="str">
        <x:v>給与所得総額の乗数・NW力</x:v>
      </x:c>
      <x:c r="I7" s="62" t="str">
        <x:v>海外大学はTop100のみ</x:v>
      </x:c>
      <x:c r="J7" s="63" t="str">
        <x:v>model.ts</x:v>
      </x:c>
    </x:row>
    <x:row r="8" ht="44" customHeight="1">
      <x:c r="A8" s="94" t="n">
        <x:v>4</x:v>
      </x:c>
      <x:c r="B8" s="43" t="str">
        <x:v>容姿（自己評価）</x:v>
      </x:c>
      <x:c r="C8" s="82" t="str">
        <x:v>5択</x:v>
      </x:c>
      <x:c r="D8" s="86" t="str">
        <x:v>中間</x:v>
      </x:c>
      <x:c r="E8" s="86" t="str"/>
      <x:c r="F8" s="86" t="str"/>
      <x:c r="G8" s="82" t="str">
        <x:v>—</x:v>
      </x:c>
      <x:c r="H8" s="62" t="str">
        <x:v>給与成長・資産利回り</x:v>
      </x:c>
      <x:c r="I8" s="62" t="str">
        <x:v>給与のみ職業別倍率あり</x:v>
      </x:c>
      <x:c r="J8" s="63" t="str">
        <x:v>model.ts</x:v>
      </x:c>
    </x:row>
    <x:row r="9" ht="44" customHeight="1">
      <x:c r="A9" s="94" t="n">
        <x:v>5</x:v>
      </x:c>
      <x:c r="B9" s="43" t="str">
        <x:v>現在の職業</x:v>
      </x:c>
      <x:c r="C9" s="82" t="str">
        <x:v>職種→職業</x:v>
      </x:c>
      <x:c r="D9" s="86" t="str">
        <x:v>上場企業 一般社員</x:v>
      </x:c>
      <x:c r="E9" s="86" t="str"/>
      <x:c r="F9" s="86" t="str"/>
      <x:c r="G9" s="82" t="str">
        <x:v>—</x:v>
      </x:c>
      <x:c r="H9" s="62" t="str">
        <x:v>全職業パラメータ</x:v>
      </x:c>
      <x:c r="I9" s="62" t="str">
        <x:v>9職種・60職業</x:v>
      </x:c>
      <x:c r="J9" s="63" t="str">
        <x:v>model.ts</x:v>
      </x:c>
    </x:row>
    <x:row r="10" ht="44" customHeight="1">
      <x:c r="A10" s="94" t="n">
        <x:v>6</x:v>
      </x:c>
      <x:c r="B10" s="43" t="str">
        <x:v>現金・金融資産</x:v>
      </x:c>
      <x:c r="C10" s="82" t="str">
        <x:v>数値</x:v>
      </x:c>
      <x:c r="D10" s="86" t="n">
        <x:v>300</x:v>
      </x:c>
      <x:c r="E10" s="86" t="n">
        <x:v>0</x:v>
      </x:c>
      <x:c r="F10" s="86" t="n">
        <x:v>1000000</x:v>
      </x:c>
      <x:c r="G10" s="82" t="str">
        <x:v>万円</x:v>
      </x:c>
      <x:c r="H10" s="62" t="str">
        <x:v>初期資産</x:v>
      </x:c>
      <x:c r="I10" s="62" t="str"/>
      <x:c r="J10" s="63" t="str">
        <x:v>HumanMarketCapApp.tsx / api/valuation/route.ts</x:v>
      </x:c>
    </x:row>
    <x:row r="11" ht="44" customHeight="1">
      <x:c r="A11" s="94" t="n">
        <x:v>7</x:v>
      </x:c>
      <x:c r="B11" s="43" t="str">
        <x:v>不動産資産</x:v>
      </x:c>
      <x:c r="C11" s="82" t="str">
        <x:v>数値</x:v>
      </x:c>
      <x:c r="D11" s="86" t="n">
        <x:v>0</x:v>
      </x:c>
      <x:c r="E11" s="86" t="n">
        <x:v>0</x:v>
      </x:c>
      <x:c r="F11" s="86" t="n">
        <x:v>1000000</x:v>
      </x:c>
      <x:c r="G11" s="82" t="str">
        <x:v>万円</x:v>
      </x:c>
      <x:c r="H11" s="62" t="str">
        <x:v>初期資産</x:v>
      </x:c>
      <x:c r="I11" s="62" t="str">
        <x:v>現金・金融資産と合算</x:v>
      </x:c>
      <x:c r="J11" s="63" t="str">
        <x:v>同上</x:v>
      </x:c>
    </x:row>
    <x:row r="12" ht="44" customHeight="1">
      <x:c r="A12" s="94" t="n">
        <x:v>7</x:v>
      </x:c>
      <x:c r="B12" s="43" t="str">
        <x:v>その他資産（債券・金・時計など）</x:v>
      </x:c>
      <x:c r="C12" s="82" t="str">
        <x:v>数値</x:v>
      </x:c>
      <x:c r="D12" s="86" t="n">
        <x:v>0</x:v>
      </x:c>
      <x:c r="E12" s="86" t="n">
        <x:v>0</x:v>
      </x:c>
      <x:c r="F12" s="86" t="n">
        <x:v>1000000</x:v>
      </x:c>
      <x:c r="G12" s="82" t="str">
        <x:v>万円</x:v>
      </x:c>
      <x:c r="H12" s="62" t="str">
        <x:v>初期資産</x:v>
      </x:c>
      <x:c r="I12" s="62" t="str">
        <x:v>不動産資産の下に表示</x:v>
      </x:c>
      <x:c r="J12" s="63" t="str">
        <x:v>同上</x:v>
      </x:c>
    </x:row>
    <x:row r="13" ht="44" customHeight="1">
      <x:c r="A13" s="94" t="n">
        <x:v>8</x:v>
      </x:c>
      <x:c r="B13" s="43" t="str">
        <x:v>給与からの再投資率</x:v>
      </x:c>
      <x:c r="C13" s="82" t="str">
        <x:v>スライダー</x:v>
      </x:c>
      <x:c r="D13" s="85" t="n">
        <x:v>0.2</x:v>
      </x:c>
      <x:c r="E13" s="85" t="n">
        <x:v>0</x:v>
      </x:c>
      <x:c r="F13" s="85" t="n">
        <x:v>0.8</x:v>
      </x:c>
      <x:c r="G13" s="82" t="str">
        <x:v>%</x:v>
      </x:c>
      <x:c r="H13" s="62" t="str">
        <x:v>毎年の資産積み増し</x:v>
      </x:c>
      <x:c r="I13" s="62" t="str">
        <x:v>推奨20%以上</x:v>
      </x:c>
      <x:c r="J13" s="63" t="str">
        <x:v>同上</x:v>
      </x:c>
    </x:row>
    <x:row r="14" ht="44" customHeight="1">
      <x:c r="A14" s="95" t="n">
        <x:v>9</x:v>
      </x:c>
      <x:c r="B14" s="46" t="str">
        <x:v>金融リテラシー瞬発クイズ</x:v>
      </x:c>
      <x:c r="C14" s="83" t="str">
        <x:v>ランダム5/15</x:v>
      </x:c>
      <x:c r="D14" s="97" t="str">
        <x:v>未回答</x:v>
      </x:c>
      <x:c r="E14" s="97" t="n">
        <x:v>0</x:v>
      </x:c>
      <x:c r="F14" s="97" t="n">
        <x:v>5</x:v>
      </x:c>
      <x:c r="G14" s="83" t="str">
        <x:v>点</x:v>
      </x:c>
      <x:c r="H14" s="64" t="str">
        <x:v>実効利回りに−5%〜+5%</x:v>
      </x:c>
      <x:c r="I14" s="64" t="str">
        <x:v>A/B各10秒・後から解説表示</x:v>
      </x:c>
      <x:c r="J14" s="65" t="str">
        <x:v>quiz-data.ts / HumanMarketCapApp.tsx</x:v>
      </x:c>
    </x:row>
  </x:sheetData>
  <x:mergeCells>
    <x:mergeCell ref="A1:J1"/>
    <x:mergeCell ref="A2:J2"/>
  </x:mergeCells>
  <x:pageMargins left="0.7" right="0.7" top="0.75" bottom="0.75" header="0.3" footer="0.3"/>
  <x:tableParts count="1">
    <x:tablePart xmlns:r="http://schemas.openxmlformats.org/officeDocument/2006/relationships" r:id="Rac9e3f5d46cb41d2"/>
  </x:tableParts>
</x:worksheet>
</file>

<file path=xl/worksheets/sheet7.xml><?xml version="1.0" encoding="utf-8"?>
<x:worksheet xmlns:x="http://schemas.openxmlformats.org/spreadsheetml/2006/main">
  <x:sheetFormatPr defaultRowHeight="15"/>
  <x:cols>
    <x:col min="1" max="1" width="9" hidden="0" customWidth="1"/>
    <x:col min="2" max="2" width="25" hidden="0" customWidth="1"/>
    <x:col min="3" max="3" width="42" hidden="0" customWidth="1"/>
    <x:col min="4" max="4" width="66" hidden="0" customWidth="1"/>
    <x:col min="5" max="5" width="28" hidden="0" customWidth="1"/>
    <x:col min="6" max="6" width="28" hidden="0" customWidth="1"/>
    <x:col min="7" max="7" width="28" hidden="0" customWidth="1"/>
    <x:col min="8" max="8" width="28" hidden="0" customWidth="1"/>
    <x:col min="9" max="9" width="66" hidden="0" customWidth="1"/>
    <x:col min="10" max="10" width="28" hidden="0" customWidth="1"/>
    <x:col min="11" max="11" width="28" hidden="0" customWidth="1"/>
    <x:col min="12" max="12" width="28" hidden="0" customWidth="1"/>
    <x:col min="13" max="13" width="28" hidden="0" customWidth="1"/>
    <x:col min="14" max="14" width="14" hidden="0" customWidth="1"/>
    <x:col min="15" max="15" width="11" hidden="0" customWidth="1"/>
    <x:col min="16" max="16" width="11" hidden="0" customWidth="1"/>
    <x:col min="17" max="17" width="31" hidden="0" customWidth="1"/>
    <x:col min="18" max="18" width="27" hidden="0" customWidth="1"/>
    <x:col min="19" max="19" width="90" hidden="0" customWidth="1"/>
    <x:col min="20" max="20" width="10" hidden="0" customWidth="1"/>
    <x:col min="21" max="21" width="22" hidden="0" customWidth="1"/>
  </x:cols>
  <x:sheetData>
    <x:row r="1" ht="34" customHeight="1">
      <x:c r="A1" s="3" t="str">
        <x:v>金融リテラシークイズ一覧</x:v>
      </x:c>
      <x:c r="B1" s="3"/>
      <x:c r="C1" s="3"/>
      <x:c r="D1" s="3"/>
      <x:c r="E1" s="3"/>
      <x:c r="F1" s="3"/>
      <x:c r="G1" s="3"/>
      <x:c r="H1" s="3"/>
      <x:c r="I1" s="3"/>
      <x:c r="J1" s="3"/>
      <x:c r="K1" s="3"/>
      <x:c r="L1" s="3"/>
      <x:c r="M1" s="3"/>
      <x:c r="N1" s="3"/>
      <x:c r="O1" s="3"/>
      <x:c r="P1" s="3"/>
      <x:c r="Q1" s="3"/>
      <x:c r="R1" s="3"/>
      <x:c r="S1" s="3"/>
      <x:c r="T1" s="3"/>
      <x:c r="U1" s="3"/>
    </x:row>
    <x:row r="2" ht="30" customHeight="1">
      <x:c r="A2" s="7" t="str">
        <x:v>全15セット。実際は5セットを無作為出題し、A→Bを各10秒で回答。解説は結果後に表示します。</x:v>
      </x:c>
      <x:c r="B2" s="7"/>
      <x:c r="C2" s="7"/>
      <x:c r="D2" s="7"/>
      <x:c r="E2" s="7"/>
      <x:c r="F2" s="7"/>
      <x:c r="G2" s="7"/>
      <x:c r="H2" s="7"/>
      <x:c r="I2" s="7"/>
      <x:c r="J2" s="7"/>
      <x:c r="K2" s="7"/>
      <x:c r="L2" s="7"/>
      <x:c r="M2" s="7"/>
      <x:c r="N2" s="7"/>
      <x:c r="O2" s="7"/>
      <x:c r="P2" s="7"/>
      <x:c r="Q2" s="7"/>
      <x:c r="R2" s="7"/>
      <x:c r="S2" s="7"/>
      <x:c r="T2" s="7"/>
      <x:c r="U2" s="7"/>
    </x:row>
    <x:row r="4" ht="34" customHeight="1">
      <x:c r="A4" s="18" t="str">
        <x:v>ID</x:v>
      </x:c>
      <x:c r="B4" s="19" t="str">
        <x:v>タイトル</x:v>
      </x:c>
      <x:c r="C4" s="19" t="str">
        <x:v>前提文</x:v>
      </x:c>
      <x:c r="D4" s="19" t="str">
        <x:v>A問題</x:v>
      </x:c>
      <x:c r="E4" s="19" t="str">
        <x:v>A選択肢1</x:v>
      </x:c>
      <x:c r="F4" s="19" t="str">
        <x:v>A選択肢2</x:v>
      </x:c>
      <x:c r="G4" s="19" t="str">
        <x:v>A選択肢3</x:v>
      </x:c>
      <x:c r="H4" s="19" t="str">
        <x:v>A選択肢4</x:v>
      </x:c>
      <x:c r="I4" s="19" t="str">
        <x:v>B問題</x:v>
      </x:c>
      <x:c r="J4" s="19" t="str">
        <x:v>B選択肢1</x:v>
      </x:c>
      <x:c r="K4" s="19" t="str">
        <x:v>B選択肢2</x:v>
      </x:c>
      <x:c r="L4" s="19" t="str">
        <x:v>B選択肢3</x:v>
      </x:c>
      <x:c r="M4" s="19" t="str">
        <x:v>B選択肢4</x:v>
      </x:c>
      <x:c r="N4" s="19" t="str">
        <x:v>ルール</x:v>
      </x:c>
      <x:c r="O4" s="19" t="str">
        <x:v>A正解</x:v>
      </x:c>
      <x:c r="P4" s="19" t="str">
        <x:v>B正解</x:v>
      </x:c>
      <x:c r="Q4" s="19" t="str">
        <x:v>判定条件</x:v>
      </x:c>
      <x:c r="R4" s="19" t="str">
        <x:v>正解パターン表示</x:v>
      </x:c>
      <x:c r="S4" s="19" t="str">
        <x:v>解説</x:v>
      </x:c>
      <x:c r="T4" s="19" t="str">
        <x:v>配点</x:v>
      </x:c>
      <x:c r="U4" s="20" t="str">
        <x:v>ソース</x:v>
      </x:c>
    </x:row>
    <x:row r="5" ht="88" customHeight="1">
      <x:c r="A5" s="117" t="str">
        <x:v>q01</x:v>
      </x:c>
      <x:c r="B5" s="81" t="str">
        <x:v>保険を使うべき損失</x:v>
      </x:c>
      <x:c r="C5" s="81" t="str"/>
      <x:c r="D5" s="81" t="str">
        <x:v>貯金は100万円あります。月300円で、スマホの画面割れを最大2万円まで補償する保険があります。2万円を自腹で払っても生活には影響しません。入りますか？</x:v>
      </x:c>
      <x:c r="E5" s="81" t="str">
        <x:v>入る</x:v>
      </x:c>
      <x:c r="F5" s="81" t="str">
        <x:v>入らない</x:v>
      </x:c>
      <x:c r="G5" s="81" t="str"/>
      <x:c r="H5" s="81" t="str"/>
      <x:c r="I5" s="81" t="str">
        <x:v>あなたは35歳、子ども2人、貯金100万円の一馬力世帯主です。死亡すると、公的保障などを差し引いても遺族の生活資金が約3,000万円不足します。月3,000円で死亡保障3,000万円の掛け捨て保険に入れます。入りますか？</x:v>
      </x:c>
      <x:c r="J5" s="81" t="str">
        <x:v>入る</x:v>
      </x:c>
      <x:c r="K5" s="81" t="str">
        <x:v>入らない</x:v>
      </x:c>
      <x:c r="L5" s="81" t="str"/>
      <x:c r="M5" s="81" t="str"/>
      <x:c r="N5" s="81" t="str">
        <x:v>pair</x:v>
      </x:c>
      <x:c r="O5" s="96" t="n">
        <x:v>2</x:v>
      </x:c>
      <x:c r="P5" s="96" t="n">
        <x:v>1</x:v>
      </x:c>
      <x:c r="Q5" s="51" t="str">
        <x:f>IF(N5="pair","A=選択肢"&amp;O5&amp;" かつ B=選択肢"&amp;P5,IF(N5="same","AとBが同じ選択肢","AとBが異なる選択肢"))</x:f>
        <x:v>A=選択肢2 かつ B=選択肢1</x:v>
      </x:c>
      <x:c r="R5" s="81" t="str">
        <x:v>② → ①</x:v>
      </x:c>
      <x:c r="S5" s="81" t="str">
        <x:v>保険は得するためではなく、家計では耐えられない損失を移転するための商品です。自腹で処理できる2万円には保険を使わず、家族の生活を破綻させる3,000万円の損失には使うのが基本です。</x:v>
      </x:c>
      <x:c r="T5" s="96" t="n">
        <x:v>1</x:v>
      </x:c>
      <x:c r="U5" s="61" t="str">
        <x:v>app/quiz-data.ts</x:v>
      </x:c>
    </x:row>
    <x:row r="6" ht="88" customHeight="1">
      <x:c r="A6" s="118" t="str">
        <x:v>q02</x:v>
      </x:c>
      <x:c r="B6" s="82" t="str">
        <x:v>確実な15%リターン</x:v>
      </x:c>
      <x:c r="C6" s="82" t="str"/>
      <x:c r="D6" s="82" t="str">
        <x:v>生活防衛資金とは別に30万円あります。年利15%のリボ払い残高が30万円あり、期待利回り5%の投資も選べます。どちらに使いますか？</x:v>
      </x:c>
      <x:c r="E6" s="82" t="str">
        <x:v>リボ払いを完済する</x:v>
      </x:c>
      <x:c r="F6" s="82" t="str">
        <x:v>投資に入れる</x:v>
      </x:c>
      <x:c r="G6" s="82" t="str"/>
      <x:c r="H6" s="82" t="str"/>
      <x:c r="I6" s="82" t="str">
        <x:v>借金が年利0.3%の奨学金だったらどうしますか？生活防衛資金は確保済みで、30万円は20年以上使わない余裕資金とします。</x:v>
      </x:c>
      <x:c r="J6" s="82" t="str">
        <x:v>奨学金を完済する</x:v>
      </x:c>
      <x:c r="K6" s="82" t="str">
        <x:v>分散投資に入れる</x:v>
      </x:c>
      <x:c r="L6" s="82" t="str"/>
      <x:c r="M6" s="82" t="str"/>
      <x:c r="N6" s="82" t="str">
        <x:v>pair</x:v>
      </x:c>
      <x:c r="O6" s="86" t="n">
        <x:v>1</x:v>
      </x:c>
      <x:c r="P6" s="86" t="n">
        <x:v>2</x:v>
      </x:c>
      <x:c r="Q6" s="52" t="str">
        <x:f>IF(N6="pair","A=選択肢"&amp;O6&amp;" かつ B=選択肢"&amp;P6,IF(N6="same","AとBが同じ選択肢","AとBが異なる選択肢"))</x:f>
        <x:v>A=選択肢1 かつ B=選択肢2</x:v>
      </x:c>
      <x:c r="R6" s="82" t="str">
        <x:v>① → ②</x:v>
      </x:c>
      <x:c r="S6" s="82" t="str">
        <x:v>借金返済は、その金利分の支払いを確実に回避する行為です。年利15%の返済は、実質的に無リスクで15%に近い効果があります。一方、0.3%の低金利で生活防衛資金と長い運用期間があるなら、返済を急がず投資する選択が合理的になり得ます。</x:v>
      </x:c>
      <x:c r="T6" s="86" t="n">
        <x:v>1</x:v>
      </x:c>
      <x:c r="U6" s="63" t="str">
        <x:v>app/quiz-data.ts</x:v>
      </x:c>
    </x:row>
    <x:row r="7" ht="88" customHeight="1">
      <x:c r="A7" s="118" t="str">
        <x:v>q03</x:v>
      </x:c>
      <x:c r="B7" s="82" t="str">
        <x:v>＋50%と−50%</x:v>
      </x:c>
      <x:c r="C7" s="82" t="str"/>
      <x:c r="D7" s="82" t="str">
        <x:v>100万円を投資したところ、1年目に50%上昇し、2年目に50%下落しました。現在はいくらですか？</x:v>
      </x:c>
      <x:c r="E7" s="82" t="str">
        <x:v>125万円</x:v>
      </x:c>
      <x:c r="F7" s="82" t="str">
        <x:v>100万円</x:v>
      </x:c>
      <x:c r="G7" s="82" t="str">
        <x:v>95万円</x:v>
      </x:c>
      <x:c r="H7" s="82" t="str">
        <x:v>75万円</x:v>
      </x:c>
      <x:c r="I7" s="82" t="str">
        <x:v>順番が逆で、1年目に50%下落し、2年目に50%上昇した場合はいくらですか？</x:v>
      </x:c>
      <x:c r="J7" s="82" t="str">
        <x:v>125万円</x:v>
      </x:c>
      <x:c r="K7" s="82" t="str">
        <x:v>100万円</x:v>
      </x:c>
      <x:c r="L7" s="82" t="str">
        <x:v>95万円</x:v>
      </x:c>
      <x:c r="M7" s="82" t="str">
        <x:v>75万円</x:v>
      </x:c>
      <x:c r="N7" s="82" t="str">
        <x:v>pair</x:v>
      </x:c>
      <x:c r="O7" s="86" t="n">
        <x:v>4</x:v>
      </x:c>
      <x:c r="P7" s="86" t="n">
        <x:v>4</x:v>
      </x:c>
      <x:c r="Q7" s="52" t="str">
        <x:f>IF(N7="pair","A=選択肢"&amp;O7&amp;" かつ B=選択肢"&amp;P7,IF(N7="same","AとBが同じ選択肢","AとBが異なる選択肢"))</x:f>
        <x:v>A=選択肢4 かつ B=選択肢4</x:v>
      </x:c>
      <x:c r="R7" s="82" t="str">
        <x:v>④ → ④</x:v>
      </x:c>
      <x:c r="S7" s="82" t="str">
        <x:v>どちらも 100万円 × 1.5 × 0.5 = 75万円です。プラス50%とマイナス50%は相殺されません。また、掛け算なので順番を変えても結果は同じです。</x:v>
      </x:c>
      <x:c r="T7" s="86" t="n">
        <x:v>1</x:v>
      </x:c>
      <x:c r="U7" s="63" t="str">
        <x:v>app/quiz-data.ts</x:v>
      </x:c>
    </x:row>
    <x:row r="8" ht="88" customHeight="1">
      <x:c r="A8" s="118" t="str">
        <x:v>q04</x:v>
      </x:c>
      <x:c r="B8" s="82" t="str">
        <x:v>映画代は取り戻せるか</x:v>
      </x:c>
      <x:c r="C8" s="82" t="str"/>
      <x:c r="D8" s="82" t="str">
        <x:v>1,900円を払って映画を観始めました。30分観た時点で、残り90分も確実につまらないと分かりました。外に出れば好きなことに90分使えます。どうしますか？</x:v>
      </x:c>
      <x:c r="E8" s="82" t="str">
        <x:v>最後まで観る</x:v>
      </x:c>
      <x:c r="F8" s="82" t="str">
        <x:v>席を立つ</x:v>
      </x:c>
      <x:c r="G8" s="82" t="str"/>
      <x:c r="H8" s="82" t="str"/>
      <x:c r="I8" s="82" t="str">
        <x:v>その映画を無料招待券で観ていた場合、判断は変わりますか？</x:v>
      </x:c>
      <x:c r="J8" s="82" t="str">
        <x:v>変わる</x:v>
      </x:c>
      <x:c r="K8" s="82" t="str">
        <x:v>変わらない</x:v>
      </x:c>
      <x:c r="L8" s="82" t="str"/>
      <x:c r="M8" s="82" t="str"/>
      <x:c r="N8" s="82" t="str">
        <x:v>pair</x:v>
      </x:c>
      <x:c r="O8" s="86" t="n">
        <x:v>2</x:v>
      </x:c>
      <x:c r="P8" s="86" t="n">
        <x:v>2</x:v>
      </x:c>
      <x:c r="Q8" s="52" t="str">
        <x:f>IF(N8="pair","A=選択肢"&amp;O8&amp;" かつ B=選択肢"&amp;P8,IF(N8="same","AとBが同じ選択肢","AとBが異なる選択肢"))</x:f>
        <x:v>A=選択肢2 かつ B=選択肢2</x:v>
      </x:c>
      <x:c r="R8" s="82" t="str">
        <x:v>② → ②</x:v>
      </x:c>
      <x:c r="S8" s="82" t="str">
        <x:v>1,900円は、観続けても席を立っても戻りません。判断材料になるのは、これからの90分をどう使うかです。有料なら残り、無料なら帰るという判断は、回収不能な過去の支出に引っ張られるサンクコスト効果です。</x:v>
      </x:c>
      <x:c r="T8" s="86" t="n">
        <x:v>1</x:v>
      </x:c>
      <x:c r="U8" s="63" t="str">
        <x:v>app/quiz-data.ts</x:v>
      </x:c>
    </x:row>
    <x:row r="9" ht="88" customHeight="1">
      <x:c r="A9" s="118" t="str">
        <x:v>q05</x:v>
      </x:c>
      <x:c r="B9" s="82" t="str">
        <x:v>1,000円の重さ</x:v>
      </x:c>
      <x:c r="C9" s="82" t="str"/>
      <x:c r="D9" s="82" t="str">
        <x:v>3,000円のイヤホンを買おうとしています。徒歩15分先の店舗なら、同じ商品を2,000円で買えます。移動しますか？</x:v>
      </x:c>
      <x:c r="E9" s="82" t="str">
        <x:v>移動する</x:v>
      </x:c>
      <x:c r="F9" s="82" t="str">
        <x:v>移動しない</x:v>
      </x:c>
      <x:c r="G9" s="82" t="str"/>
      <x:c r="H9" s="82" t="str"/>
      <x:c r="I9" s="82" t="str">
        <x:v>25万円のパソコンを買おうとしています。徒歩15分先の店舗なら、同じ商品を24万9,000円で買えます。移動しますか？</x:v>
      </x:c>
      <x:c r="J9" s="82" t="str">
        <x:v>移動する</x:v>
      </x:c>
      <x:c r="K9" s="82" t="str">
        <x:v>移動しない</x:v>
      </x:c>
      <x:c r="L9" s="82" t="str"/>
      <x:c r="M9" s="82" t="str"/>
      <x:c r="N9" s="82" t="str">
        <x:v>same</x:v>
      </x:c>
      <x:c r="O9" s="86" t="str"/>
      <x:c r="P9" s="86" t="str"/>
      <x:c r="Q9" s="52" t="str">
        <x:f>IF(N9="pair","A=選択肢"&amp;O9&amp;" かつ B=選択肢"&amp;P9,IF(N9="same","AとBが同じ選択肢","AとBが異なる選択肢"))</x:f>
        <x:v>AとBが同じ選択肢</x:v>
      </x:c>
      <x:c r="R9" s="82" t="str">
        <x:v>AとBで同じ回答</x:v>
      </x:c>
      <x:c r="S9" s="82" t="str">
        <x:v>どちらも15分を使って1,000円を得る同じ取引です。移動するかどうかより、割引率に惑わされず、一貫した基準で1,000円の価値を判断できたかを見ます。</x:v>
      </x:c>
      <x:c r="T9" s="86" t="n">
        <x:v>1</x:v>
      </x:c>
      <x:c r="U9" s="63" t="str">
        <x:v>app/quiz-data.ts</x:v>
      </x:c>
    </x:row>
    <x:row r="10" ht="88" customHeight="1">
      <x:c r="A10" s="118" t="str">
        <x:v>q06</x:v>
      </x:c>
      <x:c r="B10" s="82" t="str">
        <x:v>複利は金額より時間に効く</x:v>
      </x:c>
      <x:c r="C10" s="82" t="str">
        <x:v>25歳から65歳まで、年利5%で積立投資できるものとします。</x:v>
      </x:c>
      <x:c r="D10" s="82" t="str">
        <x:v>次の2人が積み立てる元本の合計は、どちらが多いですか？</x:v>
      </x:c>
      <x:c r="E10" s="82" t="str">
        <x:v>毎月1万円を40年間積み立てる人</x:v>
      </x:c>
      <x:c r="F10" s="82" t="str">
        <x:v>毎月2万円を20年間積み立てる人</x:v>
      </x:c>
      <x:c r="G10" s="82" t="str">
        <x:v>同じ</x:v>
      </x:c>
      <x:c r="H10" s="82" t="str"/>
      <x:c r="I10" s="82" t="str">
        <x:v>②の人は最初の20年間は投資せず、45歳から65歳までの20年間だけ積み立てます。65歳時点で資産が多いのは？</x:v>
      </x:c>
      <x:c r="J10" s="82" t="str">
        <x:v>毎月1万円を40年間積み立てた人</x:v>
      </x:c>
      <x:c r="K10" s="82" t="str">
        <x:v>毎月2万円を最後の20年間積み立てた人</x:v>
      </x:c>
      <x:c r="L10" s="82" t="str">
        <x:v>同じ</x:v>
      </x:c>
      <x:c r="M10" s="82" t="str"/>
      <x:c r="N10" s="82" t="str">
        <x:v>pair</x:v>
      </x:c>
      <x:c r="O10" s="86" t="n">
        <x:v>3</x:v>
      </x:c>
      <x:c r="P10" s="86" t="n">
        <x:v>1</x:v>
      </x:c>
      <x:c r="Q10" s="52" t="str">
        <x:f>IF(N10="pair","A=選択肢"&amp;O10&amp;" かつ B=選択肢"&amp;P10,IF(N10="same","AとBが同じ選択肢","AとBが異なる選択肢"))</x:f>
        <x:v>A=選択肢3 かつ B=選択肢1</x:v>
      </x:c>
      <x:c r="R10" s="82" t="str">
        <x:v>③ → ①</x:v>
      </x:c>
      <x:c r="S10" s="82" t="str">
        <x:v>投入する元本はどちらも480万円です。概算の65歳時点の資産は、毎月1万円を40年間で約1,530万円、毎月2万円を最後の20年間で約820万円。同じ元本でも、早く投資されたお金ほど長く複利が働きます。</x:v>
      </x:c>
      <x:c r="T10" s="86" t="n">
        <x:v>1</x:v>
      </x:c>
      <x:c r="U10" s="63" t="str">
        <x:v>app/quiz-data.ts</x:v>
      </x:c>
    </x:row>
    <x:row r="11" ht="88" customHeight="1">
      <x:c r="A11" s="118" t="str">
        <x:v>q07</x:v>
      </x:c>
      <x:c r="B11" s="82" t="str">
        <x:v>1回の賭けと100回の賭け</x:v>
      </x:c>
      <x:c r="C11" s="82" t="str">
        <x:v>勝率60%。勝てば掛金が2倍になり、負ければ掛金を失うゲームです。</x:v>
      </x:c>
      <x:c r="D11" s="82" t="str">
        <x:v>挑戦できるのは1回だけです。最終資産の期待額を最大にするなら、全財産の何%を賭けますか？</x:v>
      </x:c>
      <x:c r="E11" s="82" t="str">
        <x:v>0%</x:v>
      </x:c>
      <x:c r="F11" s="82" t="str">
        <x:v>20%</x:v>
      </x:c>
      <x:c r="G11" s="82" t="str">
        <x:v>50%</x:v>
      </x:c>
      <x:c r="H11" s="82" t="str">
        <x:v>100%</x:v>
      </x:c>
      <x:c r="I11" s="82" t="str">
        <x:v>同じゲームに繰り返し挑戦できます。長期的な複利成長率を最大にするなら、毎回全財産の何%を賭けますか？</x:v>
      </x:c>
      <x:c r="J11" s="82" t="str">
        <x:v>0%</x:v>
      </x:c>
      <x:c r="K11" s="82" t="str">
        <x:v>20%</x:v>
      </x:c>
      <x:c r="L11" s="82" t="str">
        <x:v>50%</x:v>
      </x:c>
      <x:c r="M11" s="82" t="str">
        <x:v>100%</x:v>
      </x:c>
      <x:c r="N11" s="82" t="str">
        <x:v>pair</x:v>
      </x:c>
      <x:c r="O11" s="86" t="n">
        <x:v>4</x:v>
      </x:c>
      <x:c r="P11" s="86" t="n">
        <x:v>2</x:v>
      </x:c>
      <x:c r="Q11" s="52" t="str">
        <x:f>IF(N11="pair","A=選択肢"&amp;O11&amp;" かつ B=選択肢"&amp;P11,IF(N11="same","AとBが同じ選択肢","AとBが異なる選択肢"))</x:f>
        <x:v>A=選択肢4 かつ B=選択肢2</x:v>
      </x:c>
      <x:c r="R11" s="82" t="str">
        <x:v>④ → ②</x:v>
      </x:c>
      <x:c r="S11" s="82" t="str">
        <x:v>1回だけで最終資産の期待額を最大化するなら、期待値がプラスなので100%です。ただし40%の確率ですべてを失います。繰り返す場合、100%を賭けると一度の敗北で終了します。長期成長率を最大にするケリー基準では60%−40%=20%です。</x:v>
      </x:c>
      <x:c r="T11" s="86" t="n">
        <x:v>1</x:v>
      </x:c>
      <x:c r="U11" s="63" t="str">
        <x:v>app/quiz-data.ts</x:v>
      </x:c>
    </x:row>
    <x:row r="12" ht="88" customHeight="1">
      <x:c r="A12" s="118" t="str">
        <x:v>q08</x:v>
      </x:c>
      <x:c r="B12" s="82" t="str">
        <x:v>1週間の価値</x:v>
      </x:c>
      <x:c r="C12" s="82" t="str">
        <x:v>受け取りは確実で、当面の生活資金には困っていないものとします。</x:v>
      </x:c>
      <x:c r="D12" s="82" t="str">
        <x:v>どちらを選びますか？</x:v>
      </x:c>
      <x:c r="E12" s="82" t="str">
        <x:v>今日1万円を受け取る</x:v>
      </x:c>
      <x:c r="F12" s="82" t="str">
        <x:v>1週間後に1万1,000円を受け取る</x:v>
      </x:c>
      <x:c r="G12" s="82" t="str"/>
      <x:c r="H12" s="82" t="str"/>
      <x:c r="I12" s="82" t="str">
        <x:v>どちらを選びますか？</x:v>
      </x:c>
      <x:c r="J12" s="82" t="str">
        <x:v>1年後に1万円を受け取る</x:v>
      </x:c>
      <x:c r="K12" s="82" t="str">
        <x:v>1年と1週間後に1万1,000円を受け取る</x:v>
      </x:c>
      <x:c r="L12" s="82" t="str"/>
      <x:c r="M12" s="82" t="str"/>
      <x:c r="N12" s="82" t="str">
        <x:v>same</x:v>
      </x:c>
      <x:c r="O12" s="86" t="str"/>
      <x:c r="P12" s="86" t="str"/>
      <x:c r="Q12" s="52" t="str">
        <x:f>IF(N12="pair","A=選択肢"&amp;O12&amp;" かつ B=選択肢"&amp;P12,IF(N12="same","AとBが同じ選択肢","AとBが異なる選択肢"))</x:f>
        <x:v>AとBが同じ選択肢</x:v>
      </x:c>
      <x:c r="R12" s="82" t="str">
        <x:v>AとBで同じ回答</x:v>
      </x:c>
      <x:c r="S12" s="82" t="str">
        <x:v>どちらも1週間待って1,000円増やす同じ取引です。①→②なら、遠い未来では待てるのに目先になると待てなくなる現在バイアスが表れています。</x:v>
      </x:c>
      <x:c r="T12" s="86" t="n">
        <x:v>1</x:v>
      </x:c>
      <x:c r="U12" s="63" t="str">
        <x:v>app/quiz-data.ts</x:v>
      </x:c>
    </x:row>
    <x:row r="13" ht="88" customHeight="1">
      <x:c r="A13" s="118" t="str">
        <x:v>q09</x:v>
      </x:c>
      <x:c r="B13" s="82" t="str">
        <x:v>10%オフの自社株</x:v>
      </x:c>
      <x:c r="C13" s="82" t="str"/>
      <x:c r="D13" s="82" t="str">
        <x:v>あなたはA社の社員です。給与、賞与、退職金がすべてA社の業績に影響されます。長期の積立先としてどちらを選びますか？</x:v>
      </x:c>
      <x:c r="E13" s="82" t="str">
        <x:v>社員割引で10%安く買えるA社株</x:v>
      </x:c>
      <x:c r="F13" s="82" t="str">
        <x:v>世界株インデックス</x:v>
      </x:c>
      <x:c r="G13" s="82" t="str"/>
      <x:c r="H13" s="82" t="str"/>
      <x:c r="I13" s="82" t="str">
        <x:v>あなたはA社と何の関係もなく、収入や保有資産もA社の業績に左右されません。投資資金の一部でA社株だけを10%安く買えるなら？</x:v>
      </x:c>
      <x:c r="J13" s="82" t="str">
        <x:v>A社株</x:v>
      </x:c>
      <x:c r="K13" s="82" t="str">
        <x:v>世界株インデックス</x:v>
      </x:c>
      <x:c r="L13" s="82" t="str"/>
      <x:c r="M13" s="82" t="str"/>
      <x:c r="N13" s="82" t="str">
        <x:v>pair</x:v>
      </x:c>
      <x:c r="O13" s="86" t="n">
        <x:v>2</x:v>
      </x:c>
      <x:c r="P13" s="86" t="n">
        <x:v>1</x:v>
      </x:c>
      <x:c r="Q13" s="52" t="str">
        <x:f>IF(N13="pair","A=選択肢"&amp;O13&amp;" かつ B=選択肢"&amp;P13,IF(N13="same","AとBが同じ選択肢","AとBが異なる選択肢"))</x:f>
        <x:v>A=選択肢2 かつ B=選択肢1</x:v>
      </x:c>
      <x:c r="R13" s="82" t="str">
        <x:v>② → ①</x:v>
      </x:c>
      <x:c r="S13" s="82" t="str">
        <x:v>社員は給与や雇用という人的資本をすでにA社へ集中させています。金融資産までA社株へ集中すると、会社の不振時に収入と資産を同時に失います。A社と無関係な投資家は同じ集中リスクを抱えていないため、投資資金の一部なら10%割引を活用する余地があります。</x:v>
      </x:c>
      <x:c r="T13" s="86" t="n">
        <x:v>1</x:v>
      </x:c>
      <x:c r="U13" s="63" t="str">
        <x:v>app/quiz-data.ts</x:v>
      </x:c>
    </x:row>
    <x:row r="14" ht="88" customHeight="1">
      <x:c r="A14" s="118" t="str">
        <x:v>q10</x:v>
      </x:c>
      <x:c r="B14" s="82" t="str">
        <x:v>ATM手数料というマイナス金利</x:v>
      </x:c>
      <x:c r="C14" s="82" t="str">
        <x:v>コンビニATMで、220円の手数料を月4回、1年間払い続けています。</x:v>
      </x:c>
      <x:c r="D14" s="82" t="str">
        <x:v>平均口座残高が10万円の場合、手数料を残高に対する年率で表すと約何%ですか？</x:v>
      </x:c>
      <x:c r="E14" s="82" t="str">
        <x:v>−0.1%</x:v>
      </x:c>
      <x:c r="F14" s="82" t="str">
        <x:v>−1%</x:v>
      </x:c>
      <x:c r="G14" s="82" t="str">
        <x:v>−10%</x:v>
      </x:c>
      <x:c r="H14" s="82" t="str">
        <x:v>−30%</x:v>
      </x:c>
      <x:c r="I14" s="82" t="str">
        <x:v>平均口座残高が1,000万円の場合は？</x:v>
      </x:c>
      <x:c r="J14" s="82" t="str">
        <x:v>−0.1%</x:v>
      </x:c>
      <x:c r="K14" s="82" t="str">
        <x:v>−1%</x:v>
      </x:c>
      <x:c r="L14" s="82" t="str">
        <x:v>−10%</x:v>
      </x:c>
      <x:c r="M14" s="82" t="str">
        <x:v>−30%</x:v>
      </x:c>
      <x:c r="N14" s="82" t="str">
        <x:v>pair</x:v>
      </x:c>
      <x:c r="O14" s="86" t="n">
        <x:v>3</x:v>
      </x:c>
      <x:c r="P14" s="86" t="n">
        <x:v>1</x:v>
      </x:c>
      <x:c r="Q14" s="52" t="str">
        <x:f>IF(N14="pair","A=選択肢"&amp;O14&amp;" かつ B=選択肢"&amp;P14,IF(N14="same","AとBが同じ選択肢","AとBが異なる選択肢"))</x:f>
        <x:v>A=選択肢3 かつ B=選択肢1</x:v>
      </x:c>
      <x:c r="R14" s="82" t="str">
        <x:v>③ → ①</x:v>
      </x:c>
      <x:c r="S14" s="82" t="str">
        <x:v>年間手数料は220円×4回×12か月=10,560円です。残高10万円に対して約−10.6%、残高1,000万円に対して約−0.106%。同じ支出でも、保有資産に対する影響は大きく異なります。</x:v>
      </x:c>
      <x:c r="T14" s="86" t="n">
        <x:v>1</x:v>
      </x:c>
      <x:c r="U14" s="63" t="str">
        <x:v>app/quiz-data.ts</x:v>
      </x:c>
    </x:row>
    <x:row r="15" ht="88" customHeight="1">
      <x:c r="A15" s="118" t="str">
        <x:v>q11</x:v>
      </x:c>
      <x:c r="B15" s="82" t="str">
        <x:v>利益では慎重、損失ではギャンブラー</x:v>
      </x:c>
      <x:c r="C15" s="82" t="str">
        <x:v>どちらの結果になっても生活には影響せず、ほかに十分な資産があるものとします。</x:v>
      </x:c>
      <x:c r="D15" s="82" t="str">
        <x:v>ゲームの賞金として、確実に100万円を受け取る権利を得ました。どちらを選びますか？</x:v>
      </x:c>
      <x:c r="E15" s="82" t="str">
        <x:v>確実に100万円を受け取る</x:v>
      </x:c>
      <x:c r="F15" s="82" t="str">
        <x:v>コイントスで、表なら200万円、裏なら0円</x:v>
      </x:c>
      <x:c r="G15" s="82" t="str"/>
      <x:c r="H15" s="82" t="str"/>
      <x:c r="I15" s="82" t="str">
        <x:v>事業で、確実に100万円の借金を背負うことになりました。どちらを選びますか？</x:v>
      </x:c>
      <x:c r="J15" s="82" t="str">
        <x:v>確実に100万円の借金を背負う</x:v>
      </x:c>
      <x:c r="K15" s="82" t="str">
        <x:v>コイントスで、表なら借金0円、裏なら借金200万円</x:v>
      </x:c>
      <x:c r="L15" s="82" t="str"/>
      <x:c r="M15" s="82" t="str"/>
      <x:c r="N15" s="82" t="str">
        <x:v>same</x:v>
      </x:c>
      <x:c r="O15" s="86" t="str"/>
      <x:c r="P15" s="86" t="str"/>
      <x:c r="Q15" s="52" t="str">
        <x:f>IF(N15="pair","A=選択肢"&amp;O15&amp;" かつ B=選択肢"&amp;P15,IF(N15="same","AとBが同じ選択肢","AとBが異なる選択肢"))</x:f>
        <x:v>AとBが同じ選択肢</x:v>
      </x:c>
      <x:c r="R15" s="82" t="str">
        <x:v>AとBで同じ回答</x:v>
      </x:c>
      <x:c r="S15" s="82" t="str">
        <x:v>期待値はどちらも100万円です。利益では確実な結果を選び、損失ではギャンブルを選ぶなら、損失回避によるフレーミング効果が表れています。投資では利益はすぐ確定するのに、損失は取り戻そうとしてリスクを増やす行動につながります。</x:v>
      </x:c>
      <x:c r="T15" s="86" t="n">
        <x:v>1</x:v>
      </x:c>
      <x:c r="U15" s="63" t="str">
        <x:v>app/quiz-data.ts</x:v>
      </x:c>
    </x:row>
    <x:row r="16" ht="88" customHeight="1">
      <x:c r="A16" s="118" t="str">
        <x:v>q12</x:v>
      </x:c>
      <x:c r="B16" s="82" t="str">
        <x:v>あぶく銭の10万円</x:v>
      </x:c>
      <x:c r="C16" s="82" t="str">
        <x:v>現在の資産状況や今後の収入は、A・Bで同じとします。</x:v>
      </x:c>
      <x:c r="D16" s="82" t="str">
        <x:v>給料からコツコツ貯めた10万円があります。50%で20万円になり、50%で0円になる勝負をしますか？</x:v>
      </x:c>
      <x:c r="E16" s="82" t="str">
        <x:v>勝負する</x:v>
      </x:c>
      <x:c r="F16" s="82" t="str">
        <x:v>勝負しない</x:v>
      </x:c>
      <x:c r="G16" s="82" t="str"/>
      <x:c r="H16" s="82" t="str"/>
      <x:c r="I16" s="82" t="str">
        <x:v>カジノで1万円が10万円になりました。現在持っている10万円を、50%で20万円、50%で0円になる勝負に使いますか？</x:v>
      </x:c>
      <x:c r="J16" s="82" t="str">
        <x:v>勝負する</x:v>
      </x:c>
      <x:c r="K16" s="82" t="str">
        <x:v>勝負しない</x:v>
      </x:c>
      <x:c r="L16" s="82" t="str"/>
      <x:c r="M16" s="82" t="str"/>
      <x:c r="N16" s="82" t="str">
        <x:v>same</x:v>
      </x:c>
      <x:c r="O16" s="86" t="str"/>
      <x:c r="P16" s="86" t="str"/>
      <x:c r="Q16" s="52" t="str">
        <x:f>IF(N16="pair","A=選択肢"&amp;O16&amp;" かつ B=選択肢"&amp;P16,IF(N16="same","AとBが同じ選択肢","AとBが異なる選択肢"))</x:f>
        <x:v>AとBが同じ選択肢</x:v>
      </x:c>
      <x:c r="R16" s="82" t="str">
        <x:v>AとBで同じ回答</x:v>
      </x:c>
      <x:c r="S16" s="82" t="str">
        <x:v>現在持っている10万円の価値は、給料で貯めたかカジノで得たかによって変わりません。②→①なら、利益で得たお金は失っても構わないと感じるハウスマネー効果が表れています。</x:v>
      </x:c>
      <x:c r="T16" s="86" t="n">
        <x:v>1</x:v>
      </x:c>
      <x:c r="U16" s="63" t="str">
        <x:v>app/quiz-data.ts</x:v>
      </x:c>
    </x:row>
    <x:row r="17" ht="88" customHeight="1">
      <x:c r="A17" s="118" t="str">
        <x:v>q13</x:v>
      </x:c>
      <x:c r="B17" s="82" t="str">
        <x:v>当たったワインは5万円以上か</x:v>
      </x:c>
      <x:c r="C17" s="82" t="str"/>
      <x:c r="D17" s="82" t="str">
        <x:v>会社のビンゴ大会で高級ワインが当たりました。同僚から『現金5万円で譲ってほしい』と言われました。</x:v>
      </x:c>
      <x:c r="E17" s="82" t="str">
        <x:v>5万円で譲る</x:v>
      </x:c>
      <x:c r="F17" s="82" t="str">
        <x:v>譲らずに自分で持つ</x:v>
      </x:c>
      <x:c r="G17" s="82" t="str"/>
      <x:c r="H17" s="82" t="str"/>
      <x:c r="I17" s="82" t="str">
        <x:v>ビンゴ大会では何も当たりませんでした。同じ高級ワインが5万円で売られています。</x:v>
      </x:c>
      <x:c r="J17" s="82" t="str">
        <x:v>5万円で買う</x:v>
      </x:c>
      <x:c r="K17" s="82" t="str">
        <x:v>買わない</x:v>
      </x:c>
      <x:c r="L17" s="82" t="str"/>
      <x:c r="M17" s="82" t="str"/>
      <x:c r="N17" s="82" t="str">
        <x:v>different</x:v>
      </x:c>
      <x:c r="O17" s="86" t="str"/>
      <x:c r="P17" s="86" t="str"/>
      <x:c r="Q17" s="52" t="str">
        <x:f>IF(N17="pair","A=選択肢"&amp;O17&amp;" かつ B=選択肢"&amp;P17,IF(N17="same","AとBが同じ選択肢","AとBが異なる選択肢"))</x:f>
        <x:v>AとBが異なる選択肢</x:v>
      </x:c>
      <x:c r="R17" s="82" t="str">
        <x:v>① → ② または ② → ①</x:v>
      </x:c>
      <x:c r="S17" s="82" t="str">
        <x:v>一貫した組み合わせは、価値を感じないなら譲る→買わない、5万円以上の価値を感じるなら譲らない→買うです。譲らないのに自分では買わない②→②は、所有した瞬間に価値を高く感じる保有効果です。</x:v>
      </x:c>
      <x:c r="T17" s="86" t="n">
        <x:v>1</x:v>
      </x:c>
      <x:c r="U17" s="63" t="str">
        <x:v>app/quiz-data.ts</x:v>
      </x:c>
    </x:row>
    <x:row r="18" ht="88" customHeight="1">
      <x:c r="A18" s="118" t="str">
        <x:v>q14</x:v>
      </x:c>
      <x:c r="B18" s="82" t="str">
        <x:v>給料は上がったのに貧しくなる</x:v>
      </x:c>
      <x:c r="C18" s="82" t="str"/>
      <x:c r="D18" s="82" t="str">
        <x:v>給料が2%上がりましたが、物価が4%上がりました。あなたの購買力は？</x:v>
      </x:c>
      <x:c r="E18" s="82" t="str">
        <x:v>上がる</x:v>
      </x:c>
      <x:c r="F18" s="82" t="str">
        <x:v>下がる</x:v>
      </x:c>
      <x:c r="G18" s="82" t="str"/>
      <x:c r="H18" s="82" t="str"/>
      <x:c r="I18" s="82" t="str">
        <x:v>給料が2%下がりましたが、物価も4%下がりました。あなたの購買力は？</x:v>
      </x:c>
      <x:c r="J18" s="82" t="str">
        <x:v>上がる</x:v>
      </x:c>
      <x:c r="K18" s="82" t="str">
        <x:v>下がる</x:v>
      </x:c>
      <x:c r="L18" s="82" t="str"/>
      <x:c r="M18" s="82" t="str"/>
      <x:c r="N18" s="82" t="str">
        <x:v>pair</x:v>
      </x:c>
      <x:c r="O18" s="86" t="n">
        <x:v>2</x:v>
      </x:c>
      <x:c r="P18" s="86" t="n">
        <x:v>1</x:v>
      </x:c>
      <x:c r="Q18" s="52" t="str">
        <x:f>IF(N18="pair","A=選択肢"&amp;O18&amp;" かつ B=選択肢"&amp;P18,IF(N18="same","AとBが同じ選択肢","AとBが異なる選択肢"))</x:f>
        <x:v>A=選択肢2 かつ B=選択肢1</x:v>
      </x:c>
      <x:c r="R18" s="82" t="str">
        <x:v>② → ①</x:v>
      </x:c>
      <x:c r="S18" s="82" t="str">
        <x:v>Aは1.02÷1.04≒0.981で購買力が約1.9%低下。Bは0.98÷0.96≒1.021で約2.1%上昇します。給料の額面ではなく、その給料で何が買えるかを見る問題です。</x:v>
      </x:c>
      <x:c r="T18" s="86" t="n">
        <x:v>1</x:v>
      </x:c>
      <x:c r="U18" s="63" t="str">
        <x:v>app/quiz-data.ts</x:v>
      </x:c>
    </x:row>
    <x:row r="19" ht="88" customHeight="1">
      <x:c r="A19" s="119" t="str">
        <x:v>q15</x:v>
      </x:c>
      <x:c r="B19" s="83" t="str">
        <x:v>相続したものをそのまま持つか</x:v>
      </x:c>
      <x:c r="C19" s="83" t="str">
        <x:v>税金、手数料、売買の手間は一切ないものとします。</x:v>
      </x:c>
      <x:c r="D19" s="83" t="str">
        <x:v>現金1,000万円を相続しました。話題のIT企業A社の株を1,000万円分買いますか？</x:v>
      </x:c>
      <x:c r="E19" s="83" t="str">
        <x:v>買う</x:v>
      </x:c>
      <x:c r="F19" s="83" t="str">
        <x:v>買わない、または分散する</x:v>
      </x:c>
      <x:c r="G19" s="83" t="str"/>
      <x:c r="H19" s="83" t="str"/>
      <x:c r="I19" s="83" t="str">
        <x:v>A社株を1,000万円分相続しました。すべて売却して、現金化または分散しますか？</x:v>
      </x:c>
      <x:c r="J19" s="83" t="str">
        <x:v>売る</x:v>
      </x:c>
      <x:c r="K19" s="83" t="str">
        <x:v>売らずに持ち続ける</x:v>
      </x:c>
      <x:c r="L19" s="83" t="str"/>
      <x:c r="M19" s="83" t="str"/>
      <x:c r="N19" s="83" t="str">
        <x:v>different</x:v>
      </x:c>
      <x:c r="O19" s="97" t="str"/>
      <x:c r="P19" s="97" t="str"/>
      <x:c r="Q19" s="53" t="str">
        <x:f>IF(N19="pair","A=選択肢"&amp;O19&amp;" かつ B=選択肢"&amp;P19,IF(N19="same","AとBが同じ選択肢","AとBが異なる選択肢"))</x:f>
        <x:v>AとBが異なる選択肢</x:v>
      </x:c>
      <x:c r="R19" s="83" t="str">
        <x:v>① → ② または ② → ①</x:v>
      </x:c>
      <x:c r="S19" s="83" t="str">
        <x:v>A社株を持ちたいなら、現金なら買う→株なら売らない。持ちたくないなら、現金なら買わない→株なら売るのが一貫しています。何もしないことも、現在価格でその資産を持ち続けるという投資判断です。</x:v>
      </x:c>
      <x:c r="T19" s="97" t="n">
        <x:v>1</x:v>
      </x:c>
      <x:c r="U19" s="65" t="str">
        <x:v>app/quiz-data.ts</x:v>
      </x:c>
    </x:row>
  </x:sheetData>
  <x:mergeCells>
    <x:mergeCell ref="A1:U1"/>
    <x:mergeCell ref="A2:U2"/>
  </x:mergeCells>
  <x:pageMargins left="0.7" right="0.7" top="0.75" bottom="0.75" header="0.3" footer="0.3"/>
  <x:tableParts count="1">
    <x:tablePart xmlns:r="http://schemas.openxmlformats.org/officeDocument/2006/relationships" r:id="Rccf4ec2ec9254e32"/>
  </x:tableParts>
</x:worksheet>
</file>

<file path=xl/worksheets/sheet8.xml><?xml version="1.0" encoding="utf-8"?>
<x:worksheet xmlns:x="http://schemas.openxmlformats.org/spreadsheetml/2006/main">
  <x:sheetFormatPr defaultRowHeight="15"/>
  <x:cols>
    <x:col min="1" max="1" width="9" hidden="0" customWidth="1"/>
    <x:col min="2" max="2" width="28" hidden="0" customWidth="1"/>
    <x:col min="3" max="3" width="30" hidden="0" customWidth="1"/>
    <x:col min="4" max="4" width="25" hidden="0" customWidth="1"/>
    <x:col min="5" max="5" width="18" hidden="0" customWidth="1"/>
    <x:col min="6" max="6" width="13" hidden="0" customWidth="1"/>
    <x:col min="7" max="7" width="13" hidden="0" customWidth="1"/>
    <x:col min="8" max="8" width="11" hidden="0" customWidth="1"/>
    <x:col min="9" max="9" width="13" hidden="0" customWidth="1"/>
    <x:col min="10" max="10" width="17" hidden="0" customWidth="1"/>
    <x:col min="11" max="11" width="20" hidden="0" customWidth="1"/>
    <x:col min="12" max="12" width="16" hidden="0" customWidth="1"/>
    <x:col min="13" max="13" width="16" hidden="0" customWidth="1"/>
    <x:col min="14" max="14" width="17" hidden="0" customWidth="1"/>
    <x:col min="15" max="15" width="17" hidden="0" customWidth="1"/>
    <x:col min="16" max="16" width="14" hidden="0" customWidth="1"/>
    <x:col min="17" max="17" width="55" hidden="0" customWidth="1"/>
    <x:col min="18" max="18" width="35" hidden="0" customWidth="1"/>
    <x:col min="19" max="19" width="35" hidden="0" customWidth="1"/>
    <x:col min="20" max="20" width="31" hidden="0" customWidth="1"/>
  </x:cols>
  <x:sheetData>
    <x:row r="1" ht="34" customHeight="1">
      <x:c r="A1" s="3" t="str">
        <x:v>隠し称号一覧</x:v>
      </x:c>
      <x:c r="B1" s="3"/>
      <x:c r="C1" s="3"/>
      <x:c r="D1" s="3"/>
      <x:c r="E1" s="3"/>
      <x:c r="F1" s="3"/>
      <x:c r="G1" s="3"/>
      <x:c r="H1" s="3"/>
      <x:c r="I1" s="3"/>
      <x:c r="J1" s="3"/>
      <x:c r="K1" s="3"/>
      <x:c r="L1" s="3"/>
      <x:c r="M1" s="3"/>
      <x:c r="N1" s="3"/>
      <x:c r="O1" s="3"/>
      <x:c r="P1" s="3"/>
      <x:c r="Q1" s="3"/>
      <x:c r="R1" s="3"/>
      <x:c r="S1" s="3"/>
      <x:c r="T1" s="3"/>
    </x:row>
    <x:row r="2" ht="30" customHeight="1">
      <x:c r="A2" s="7" t="str">
        <x:v>上から順に判定し、最初に一致した1称号だけを表示します。空欄は条件指定なしです。</x:v>
      </x:c>
      <x:c r="B2" s="7"/>
      <x:c r="C2" s="7"/>
      <x:c r="D2" s="7"/>
      <x:c r="E2" s="7"/>
      <x:c r="F2" s="7"/>
      <x:c r="G2" s="7"/>
      <x:c r="H2" s="7"/>
      <x:c r="I2" s="7"/>
      <x:c r="J2" s="7"/>
      <x:c r="K2" s="7"/>
      <x:c r="L2" s="7"/>
      <x:c r="M2" s="7"/>
      <x:c r="N2" s="7"/>
      <x:c r="O2" s="7"/>
      <x:c r="P2" s="7"/>
      <x:c r="Q2" s="7"/>
      <x:c r="R2" s="7"/>
      <x:c r="S2" s="7"/>
      <x:c r="T2" s="7"/>
    </x:row>
    <x:row r="4" ht="34" customHeight="1">
      <x:c r="A4" s="18" t="str">
        <x:v>優先</x:v>
      </x:c>
      <x:c r="B4" s="19" t="str">
        <x:v>称号</x:v>
      </x:c>
      <x:c r="C4" s="19" t="str">
        <x:v>職業key</x:v>
      </x:c>
      <x:c r="D4" s="19" t="str">
        <x:v>学歴key</x:v>
      </x:c>
      <x:c r="E4" s="19" t="str">
        <x:v>容姿key</x:v>
      </x:c>
      <x:c r="F4" s="19" t="str">
        <x:v>年齢下限</x:v>
      </x:c>
      <x:c r="G4" s="19" t="str">
        <x:v>年齢上限</x:v>
      </x:c>
      <x:c r="H4" s="19" t="str">
        <x:v>TIER</x:v>
      </x:c>
      <x:c r="I4" s="19" t="str">
        <x:v>クイズ正答</x:v>
      </x:c>
      <x:c r="J4" s="19" t="str">
        <x:v>金融資産下限</x:v>
      </x:c>
      <x:c r="K4" s="19" t="str">
        <x:v>金融資産上限未満</x:v>
      </x:c>
      <x:c r="L4" s="19" t="str">
        <x:v>総資産下限</x:v>
      </x:c>
      <x:c r="M4" s="19" t="str">
        <x:v>総資産上限</x:v>
      </x:c>
      <x:c r="N4" s="19" t="str">
        <x:v>再投資率下限</x:v>
      </x:c>
      <x:c r="O4" s="19" t="str">
        <x:v>再投資率上限</x:v>
      </x:c>
      <x:c r="P4" s="19" t="str">
        <x:v>偏差値表示</x:v>
      </x:c>
      <x:c r="Q4" s="19" t="str">
        <x:v>条件要約</x:v>
      </x:c>
      <x:c r="R4" s="19" t="str">
        <x:v>アバター</x:v>
      </x:c>
      <x:c r="S4" s="19" t="str">
        <x:v>備考</x:v>
      </x:c>
      <x:c r="T4" s="20" t="str">
        <x:v>ソース</x:v>
      </x:c>
    </x:row>
    <x:row r="5" ht="52" customHeight="1">
      <x:c r="A5" s="120" t="n">
        <x:v>1</x:v>
      </x:c>
      <x:c r="B5" s="81" t="str">
        <x:v>下剋上</x:v>
      </x:c>
      <x:c r="C5" s="81" t="str">
        <x:v>fund</x:v>
      </x:c>
      <x:c r="D5" s="81" t="str">
        <x:v>middleSchool</x:v>
      </x:c>
      <x:c r="E5" s="81" t="str"/>
      <x:c r="F5" s="96" t="str"/>
      <x:c r="G5" s="96" t="str"/>
      <x:c r="H5" s="81" t="str"/>
      <x:c r="I5" s="96" t="str"/>
      <x:c r="J5" s="96" t="str"/>
      <x:c r="K5" s="96" t="str"/>
      <x:c r="L5" s="96" t="str"/>
      <x:c r="M5" s="96" t="str"/>
      <x:c r="N5" s="84" t="str"/>
      <x:c r="O5" s="84" t="str"/>
      <x:c r="P5" s="123" t="str"/>
      <x:c r="Q5" s="60" t="str">
        <x:v>中卒 × ヘッジファンド・PE</x:v>
      </x:c>
      <x:c r="R5" s="60" t="str">
        <x:v>gekokujo.jpg</x:v>
      </x:c>
      <x:c r="S5" s="60" t="str"/>
      <x:c r="T5" s="61" t="str">
        <x:v>HumanMarketCapApp.tsx</x:v>
      </x:c>
    </x:row>
    <x:row r="6" ht="52" customHeight="1">
      <x:c r="A6" s="121" t="n">
        <x:v>2</x:v>
      </x:c>
      <x:c r="B6" s="82" t="str">
        <x:v>高学歴ワーキングプア</x:v>
      </x:c>
      <x:c r="C6" s="82" t="str">
        <x:v>nonRegular</x:v>
      </x:c>
      <x:c r="D6" s="82" t="str">
        <x:v>tokyoKyotoDoctor</x:v>
      </x:c>
      <x:c r="E6" s="82" t="str"/>
      <x:c r="F6" s="86" t="str"/>
      <x:c r="G6" s="86" t="str"/>
      <x:c r="H6" s="82" t="str"/>
      <x:c r="I6" s="86" t="str"/>
      <x:c r="J6" s="86" t="str"/>
      <x:c r="K6" s="86" t="str"/>
      <x:c r="L6" s="86" t="str"/>
      <x:c r="M6" s="86" t="str"/>
      <x:c r="N6" s="85" t="str"/>
      <x:c r="O6" s="85" t="str"/>
      <x:c r="P6" s="124" t="str"/>
      <x:c r="Q6" s="62" t="str">
        <x:v>東大・京大 博士 × 非正規雇用</x:v>
      </x:c>
      <x:c r="R6" s="62" t="str">
        <x:v>high-education-working-poor.jpg</x:v>
      </x:c>
      <x:c r="S6" s="62" t="str"/>
      <x:c r="T6" s="63" t="str">
        <x:v>HumanMarketCapApp.tsx</x:v>
      </x:c>
    </x:row>
    <x:row r="7" ht="52" customHeight="1">
      <x:c r="A7" s="121" t="n">
        <x:v>3</x:v>
      </x:c>
      <x:c r="B7" s="82" t="str">
        <x:v>宝の持ち腐れ</x:v>
      </x:c>
      <x:c r="C7" s="82" t="str">
        <x:v>professionalGambler</x:v>
      </x:c>
      <x:c r="D7" s="82" t="str"/>
      <x:c r="E7" s="82" t="str">
        <x:v>top10</x:v>
      </x:c>
      <x:c r="F7" s="86" t="str"/>
      <x:c r="G7" s="86" t="str"/>
      <x:c r="H7" s="82" t="str"/>
      <x:c r="I7" s="86" t="str"/>
      <x:c r="J7" s="86" t="str"/>
      <x:c r="K7" s="86" t="str"/>
      <x:c r="L7" s="86" t="str"/>
      <x:c r="M7" s="86" t="str"/>
      <x:c r="N7" s="85" t="str"/>
      <x:c r="O7" s="85" t="str"/>
      <x:c r="P7" s="124" t="str"/>
      <x:c r="Q7" s="62" t="str">
        <x:v>容姿上位10% × プロギャンブラー（競馬・スポーツベット等）</x:v>
      </x:c>
      <x:c r="R7" s="62" t="str">
        <x:v>treasure-wasted.jpg</x:v>
      </x:c>
      <x:c r="S7" s="62" t="str"/>
      <x:c r="T7" s="63" t="str">
        <x:v>HumanMarketCapApp.tsx</x:v>
      </x:c>
    </x:row>
    <x:row r="8" ht="52" customHeight="1">
      <x:c r="A8" s="121" t="n">
        <x:v>4</x:v>
      </x:c>
      <x:c r="B8" s="82" t="str">
        <x:v>無職という名の資本家</x:v>
      </x:c>
      <x:c r="C8" s="82" t="str">
        <x:v>unemployed</x:v>
      </x:c>
      <x:c r="D8" s="82" t="str"/>
      <x:c r="E8" s="82" t="str"/>
      <x:c r="F8" s="86" t="str"/>
      <x:c r="G8" s="86" t="str"/>
      <x:c r="H8" s="82" t="str"/>
      <x:c r="I8" s="86" t="str"/>
      <x:c r="J8" s="86" t="str"/>
      <x:c r="K8" s="86" t="str"/>
      <x:c r="L8" s="86" t="n">
        <x:v>10000</x:v>
      </x:c>
      <x:c r="M8" s="86" t="str"/>
      <x:c r="N8" s="85" t="str"/>
      <x:c r="O8" s="85" t="str"/>
      <x:c r="P8" s="124" t="str"/>
      <x:c r="Q8" s="62" t="str">
        <x:v>無職・ニート × 総資産1億円以上</x:v>
      </x:c>
      <x:c r="R8" s="62" t="str">
        <x:v>unemployed-capitalist.jpg</x:v>
      </x:c>
      <x:c r="S8" s="62" t="str">
        <x:v>総資産=金融+不動産+その他</x:v>
      </x:c>
      <x:c r="T8" s="63" t="str">
        <x:v>HumanMarketCapApp.tsx</x:v>
      </x:c>
    </x:row>
    <x:row r="9" ht="52" customHeight="1">
      <x:c r="A9" s="121" t="n">
        <x:v>5</x:v>
      </x:c>
      <x:c r="B9" s="82" t="str">
        <x:v>2026最有力銘柄候補</x:v>
      </x:c>
      <x:c r="C9" s="82" t="str">
        <x:v>aiEngineer</x:v>
      </x:c>
      <x:c r="D9" s="82" t="str"/>
      <x:c r="E9" s="82" t="str"/>
      <x:c r="F9" s="86" t="str"/>
      <x:c r="G9" s="86" t="n">
        <x:v>30</x:v>
      </x:c>
      <x:c r="H9" s="82" t="str">
        <x:v>S</x:v>
      </x:c>
      <x:c r="I9" s="86" t="str"/>
      <x:c r="J9" s="86" t="str"/>
      <x:c r="K9" s="86" t="str"/>
      <x:c r="L9" s="86" t="str"/>
      <x:c r="M9" s="86" t="str"/>
      <x:c r="N9" s="85" t="str"/>
      <x:c r="O9" s="85" t="str"/>
      <x:c r="P9" s="124" t="str"/>
      <x:c r="Q9" s="62" t="str">
        <x:v>AIエンジニア × 30歳以下 × S TIER</x:v>
      </x:c>
      <x:c r="R9" s="62" t="str">
        <x:v>ai-2026-top-pick.jpg</x:v>
      </x:c>
      <x:c r="S9" s="62" t="str"/>
      <x:c r="T9" s="63" t="str">
        <x:v>HumanMarketCapApp.tsx</x:v>
      </x:c>
    </x:row>
    <x:row r="10" ht="52" customHeight="1">
      <x:c r="A10" s="121" t="n">
        <x:v>6</x:v>
      </x:c>
      <x:c r="B10" s="82" t="str">
        <x:v>EVだけは億万長者</x:v>
      </x:c>
      <x:c r="C10" s="82" t="str">
        <x:v>pokerLive|pokerOnline</x:v>
      </x:c>
      <x:c r="D10" s="82" t="str"/>
      <x:c r="E10" s="82" t="str"/>
      <x:c r="F10" s="86" t="str"/>
      <x:c r="G10" s="86" t="str"/>
      <x:c r="H10" s="82" t="str"/>
      <x:c r="I10" s="86" t="n">
        <x:v>5</x:v>
      </x:c>
      <x:c r="J10" s="86" t="str"/>
      <x:c r="K10" s="86" t="n">
        <x:v>100</x:v>
      </x:c>
      <x:c r="L10" s="86" t="str"/>
      <x:c r="M10" s="86" t="str"/>
      <x:c r="N10" s="85" t="str"/>
      <x:c r="O10" s="85" t="str"/>
      <x:c r="P10" s="124" t="str"/>
      <x:c r="Q10" s="62" t="str">
        <x:v>ポーカー専業 × クイズ5点 × 金融資産100万円未満</x:v>
      </x:c>
      <x:c r="R10" s="62" t="str">
        <x:v>ev-millionaire.jpg</x:v>
      </x:c>
      <x:c r="S10" s="62" t="str">
        <x:v>職業はいずれか</x:v>
      </x:c>
      <x:c r="T10" s="63" t="str">
        <x:v>HumanMarketCapApp.tsx</x:v>
      </x:c>
    </x:row>
    <x:row r="11" ht="52" customHeight="1">
      <x:c r="A11" s="121" t="n">
        <x:v>7</x:v>
      </x:c>
      <x:c r="B11" s="82" t="str">
        <x:v>静かなる資本家</x:v>
      </x:c>
      <x:c r="C11" s="82" t="str">
        <x:v>public</x:v>
      </x:c>
      <x:c r="D11" s="82" t="str"/>
      <x:c r="E11" s="82" t="str"/>
      <x:c r="F11" s="86" t="str"/>
      <x:c r="G11" s="86" t="str"/>
      <x:c r="H11" s="82" t="str"/>
      <x:c r="I11" s="86" t="str"/>
      <x:c r="J11" s="86" t="str"/>
      <x:c r="K11" s="86" t="str"/>
      <x:c r="L11" s="86" t="n">
        <x:v>5000</x:v>
      </x:c>
      <x:c r="M11" s="86" t="str"/>
      <x:c r="N11" s="85" t="n">
        <x:v>0.4</x:v>
      </x:c>
      <x:c r="O11" s="85" t="str"/>
      <x:c r="P11" s="124" t="str"/>
      <x:c r="Q11" s="62" t="str">
        <x:v>公務員 × 総資産5,000万円以上 × 再投資率40%以上</x:v>
      </x:c>
      <x:c r="R11" s="62" t="str">
        <x:v>quiet-capitalist.jpg</x:v>
      </x:c>
      <x:c r="S11" s="62" t="str"/>
      <x:c r="T11" s="63" t="str">
        <x:v>HumanMarketCapApp.tsx</x:v>
      </x:c>
    </x:row>
    <x:row r="12" ht="52" customHeight="1">
      <x:c r="A12" s="122" t="n">
        <x:v>8</x:v>
      </x:c>
      <x:c r="B12" s="83" t="str">
        <x:v>完全なる市場平均</x:v>
      </x:c>
      <x:c r="C12" s="83" t="str"/>
      <x:c r="D12" s="83" t="str"/>
      <x:c r="E12" s="83" t="str"/>
      <x:c r="F12" s="97" t="str"/>
      <x:c r="G12" s="97" t="str"/>
      <x:c r="H12" s="83" t="str"/>
      <x:c r="I12" s="97" t="str"/>
      <x:c r="J12" s="97" t="str"/>
      <x:c r="K12" s="97" t="str"/>
      <x:c r="L12" s="97" t="str"/>
      <x:c r="M12" s="97" t="str"/>
      <x:c r="N12" s="98" t="str"/>
      <x:c r="O12" s="98" t="str"/>
      <x:c r="P12" s="125" t="n">
        <x:v>50</x:v>
      </x:c>
      <x:c r="Q12" s="64" t="str">
        <x:v>偏差値の表示値が50.0</x:v>
      </x:c>
      <x:c r="R12" s="64" t="str">
        <x:v>perfect-average.jpg</x:v>
      </x:c>
      <x:c r="S12" s="64" t="str">
        <x:v>他の称号に該当しない場合のみ</x:v>
      </x:c>
      <x:c r="T12" s="65" t="str">
        <x:v>HumanMarketCapApp.tsx</x:v>
      </x:c>
    </x:row>
  </x:sheetData>
  <x:mergeCells>
    <x:mergeCell ref="A1:T1"/>
    <x:mergeCell ref="A2:T2"/>
  </x:mergeCells>
  <x:pageMargins left="0.7" right="0.7" top="0.75" bottom="0.75" header="0.3" footer="0.3"/>
  <x:tableParts count="1">
    <x:tablePart xmlns:r="http://schemas.openxmlformats.org/officeDocument/2006/relationships" r:id="Rd37823e0c0b4470e"/>
  </x:tableParts>
</x:worksheet>
</file>

<file path=xl/worksheets/sheet9.xml><?xml version="1.0" encoding="utf-8"?>
<x:worksheet xmlns:x="http://schemas.openxmlformats.org/spreadsheetml/2006/main">
  <x:sheetFormatPr defaultRowHeight="15"/>
  <x:cols>
    <x:col min="1" max="1" width="15" hidden="0" customWidth="1"/>
    <x:col min="2" max="2" width="31" hidden="0" customWidth="1"/>
    <x:col min="3" max="3" width="14" hidden="0" customWidth="1"/>
    <x:col min="4" max="4" width="14" hidden="0" customWidth="1"/>
    <x:col min="5" max="5" width="16" hidden="0" customWidth="1"/>
    <x:col min="6" max="6" width="39" hidden="0" customWidth="1"/>
    <x:col min="7" max="7" width="42" hidden="0" customWidth="1"/>
  </x:cols>
  <x:sheetData>
    <x:row r="1" ht="34" customHeight="1">
      <x:c r="A1" s="3" t="str">
        <x:v>整合性チェック</x:v>
      </x:c>
      <x:c r="B1" s="3"/>
      <x:c r="C1" s="3"/>
      <x:c r="D1" s="3"/>
      <x:c r="E1" s="3"/>
      <x:c r="F1" s="3"/>
      <x:c r="G1" s="3"/>
    </x:row>
    <x:row r="2" ht="30" customHeight="1">
      <x:c r="A2" s="7" t="str">
        <x:v>設定値を編集した後、件数・空欄・整合性を確認してください。E列がすべてOKなら基本構造は維持されています。</x:v>
      </x:c>
      <x:c r="B2" s="7"/>
      <x:c r="C2" s="7"/>
      <x:c r="D2" s="7"/>
      <x:c r="E2" s="7"/>
      <x:c r="F2" s="7"/>
      <x:c r="G2" s="7"/>
    </x:row>
    <x:row r="4" ht="34" customHeight="1">
      <x:c r="A4" s="18" t="str">
        <x:v>チェックID</x:v>
      </x:c>
      <x:c r="B4" s="19" t="str">
        <x:v>対象</x:v>
      </x:c>
      <x:c r="C4" s="19" t="str">
        <x:v>期待値</x:v>
      </x:c>
      <x:c r="D4" s="19" t="str">
        <x:v>実績</x:v>
      </x:c>
      <x:c r="E4" s="19" t="str">
        <x:v>判定</x:v>
      </x:c>
      <x:c r="F4" s="19" t="str">
        <x:v>確認内容</x:v>
      </x:c>
      <x:c r="G4" s="20" t="str">
        <x:v>対応</x:v>
      </x:c>
    </x:row>
    <x:row r="5" ht="34" customHeight="1">
      <x:c r="A5" s="39" t="str">
        <x:v>V001</x:v>
      </x:c>
      <x:c r="B5" s="40" t="str">
        <x:v>学歴件数</x:v>
      </x:c>
      <x:c r="C5" s="81" t="n">
        <x:v>15</x:v>
      </x:c>
      <x:c r="D5" s="51" t="n">
        <x:f>COUNTA('学歴'!$B$5:$B$19)</x:f>
        <x:v>15</x:v>
      </x:c>
      <x:c r="E5" s="51" t="str">
        <x:f>IF(C5=D5,"OK","要確認")</x:f>
        <x:v>OK</x:v>
      </x:c>
      <x:c r="F5" s="60" t="str">
        <x:v>学歴keyの登録件数</x:v>
      </x:c>
      <x:c r="G5" s="61" t="str">
        <x:v>件数変更時は期待値も更新</x:v>
      </x:c>
    </x:row>
    <x:row r="6" ht="34" customHeight="1">
      <x:c r="A6" s="42" t="str">
        <x:v>V002</x:v>
      </x:c>
      <x:c r="B6" s="43" t="str">
        <x:v>容姿件数</x:v>
      </x:c>
      <x:c r="C6" s="82" t="n">
        <x:v>5</x:v>
      </x:c>
      <x:c r="D6" s="52" t="n">
        <x:f>COUNTA('容姿'!$B$5:$B$9)</x:f>
        <x:v>5</x:v>
      </x:c>
      <x:c r="E6" s="52" t="str">
        <x:f>IF(C6=D6,"OK","要確認")</x:f>
        <x:v>OK</x:v>
      </x:c>
      <x:c r="F6" s="62" t="str">
        <x:v>容姿keyの登録件数</x:v>
      </x:c>
      <x:c r="G6" s="63" t="str">
        <x:v>件数変更時は期待値も更新</x:v>
      </x:c>
    </x:row>
    <x:row r="7" ht="34" customHeight="1">
      <x:c r="A7" s="42" t="str">
        <x:v>V003</x:v>
      </x:c>
      <x:c r="B7" s="43" t="str">
        <x:v>職業件数</x:v>
      </x:c>
      <x:c r="C7" s="82" t="n">
        <x:v>60</x:v>
      </x:c>
      <x:c r="D7" s="52" t="n">
        <x:f>COUNTA('職業'!$D$5:$D$64)</x:f>
        <x:v>60</x:v>
      </x:c>
      <x:c r="E7" s="52" t="str">
        <x:f>IF(C7=D7,"OK","要確認")</x:f>
        <x:v>OK</x:v>
      </x:c>
      <x:c r="F7" s="62" t="str">
        <x:v>職業keyの登録件数</x:v>
      </x:c>
      <x:c r="G7" s="63" t="str">
        <x:v>件数変更時は期待値も更新</x:v>
      </x:c>
    </x:row>
    <x:row r="8" ht="34" customHeight="1">
      <x:c r="A8" s="42" t="str">
        <x:v>V004</x:v>
      </x:c>
      <x:c r="B8" s="43" t="str">
        <x:v>クイズ件数</x:v>
      </x:c>
      <x:c r="C8" s="82" t="n">
        <x:v>15</x:v>
      </x:c>
      <x:c r="D8" s="52" t="n">
        <x:f>COUNTA('クイズ'!$A$5:$A$19)</x:f>
        <x:v>15</x:v>
      </x:c>
      <x:c r="E8" s="52" t="str">
        <x:f>IF(C8=D8,"OK","要確認")</x:f>
        <x:v>OK</x:v>
      </x:c>
      <x:c r="F8" s="62" t="str">
        <x:v>クイズIDの登録件数</x:v>
      </x:c>
      <x:c r="G8" s="63" t="str">
        <x:v>出題数は共通設定C003</x:v>
      </x:c>
    </x:row>
    <x:row r="9" ht="34" customHeight="1">
      <x:c r="A9" s="42" t="str">
        <x:v>V005</x:v>
      </x:c>
      <x:c r="B9" s="43" t="str">
        <x:v>隠し称号件数</x:v>
      </x:c>
      <x:c r="C9" s="82" t="n">
        <x:v>8</x:v>
      </x:c>
      <x:c r="D9" s="52" t="n">
        <x:f>COUNTA('隠し称号'!$B$5:$B$12)</x:f>
        <x:v>8</x:v>
      </x:c>
      <x:c r="E9" s="52" t="str">
        <x:f>IF(C9=D9,"OK","要確認")</x:f>
        <x:v>OK</x:v>
      </x:c>
      <x:c r="F9" s="62" t="str">
        <x:v>称号名の登録件数</x:v>
      </x:c>
      <x:c r="G9" s="63" t="str">
        <x:v>通常称号なし</x:v>
      </x:c>
    </x:row>
    <x:row r="10" ht="34" customHeight="1">
      <x:c r="A10" s="42" t="str">
        <x:v>V006</x:v>
      </x:c>
      <x:c r="B10" s="43" t="str">
        <x:v>職業基準年収の空欄</x:v>
      </x:c>
      <x:c r="C10" s="82" t="n">
        <x:v>0</x:v>
      </x:c>
      <x:c r="D10" s="52" t="n">
        <x:f>COUNTBLANK('職業'!$I$5:$I$64)</x:f>
        <x:v>0</x:v>
      </x:c>
      <x:c r="E10" s="52" t="str">
        <x:f>IF(C10=D10,"OK","要確認")</x:f>
        <x:v>OK</x:v>
      </x:c>
      <x:c r="F10" s="62" t="str">
        <x:v>基準年収に未入力がないか</x:v>
      </x:c>
      <x:c r="G10" s="63" t="str">
        <x:v>0円は空欄ではない</x:v>
      </x:c>
    </x:row>
    <x:row r="11" ht="34" customHeight="1">
      <x:c r="A11" s="42" t="str">
        <x:v>V007</x:v>
      </x:c>
      <x:c r="B11" s="43" t="str">
        <x:v>クイズ解説の空欄</x:v>
      </x:c>
      <x:c r="C11" s="82" t="n">
        <x:v>0</x:v>
      </x:c>
      <x:c r="D11" s="52" t="n">
        <x:f>COUNTBLANK('クイズ'!$S$5:$S$19)</x:f>
        <x:v>0</x:v>
      </x:c>
      <x:c r="E11" s="52" t="str">
        <x:f>IF(C11=D11,"OK","要確認")</x:f>
        <x:v>OK</x:v>
      </x:c>
      <x:c r="F11" s="62" t="str">
        <x:v>結果後表示用の解説</x:v>
      </x:c>
      <x:c r="G11" s="63" t="str">
        <x:v>全15セット必須</x:v>
      </x:c>
    </x:row>
    <x:row r="12" ht="34" customHeight="1">
      <x:c r="A12" s="45" t="str">
        <x:v>V008</x:v>
      </x:c>
      <x:c r="B12" s="46" t="str">
        <x:v>称号アバター名の空欄</x:v>
      </x:c>
      <x:c r="C12" s="83" t="n">
        <x:v>0</x:v>
      </x:c>
      <x:c r="D12" s="53" t="n">
        <x:f>COUNTBLANK('隠し称号'!$R$5:$R$12)</x:f>
        <x:v>0</x:v>
      </x:c>
      <x:c r="E12" s="53" t="str">
        <x:f>IF(C12=D12,"OK","要確認")</x:f>
        <x:v>OK</x:v>
      </x:c>
      <x:c r="F12" s="64" t="str">
        <x:v>アバターファイル名</x:v>
      </x:c>
      <x:c r="G12" s="65" t="str">
        <x:v>全8称号必須</x:v>
      </x:c>
    </x:row>
    <x:row r="15" ht="34" customHeight="1">
      <x:c r="A15" s="128" t="str">
        <x:f>IF(COUNTIF(E5:E12,"&lt;&gt;OK")=0,"総合判定：OK","総合判定：要確認")</x:f>
        <x:v>総合判定：OK</x:v>
      </x:c>
      <x:c r="B15" s="128"/>
      <x:c r="C15" s="128"/>
      <x:c r="D15" s="128"/>
      <x:c r="E15" s="128"/>
      <x:c r="F15" s="128"/>
      <x:c r="G15" s="128"/>
    </x:row>
  </x:sheetData>
  <x:mergeCells>
    <x:mergeCell ref="A1:G1"/>
    <x:mergeCell ref="A2:G2"/>
    <x:mergeCell ref="A15:G15"/>
  </x:mergeCells>
  <x:pageMargins left="0.7" right="0.7" top="0.75" bottom="0.75" header="0.3" footer="0.3"/>
  <x:tableParts count="1">
    <x:tablePart xmlns:r="http://schemas.openxmlformats.org/officeDocument/2006/relationships" r:id="R7dc262542bfc46e0"/>
  </x:tableParts>
</x:worksheet>
</file>